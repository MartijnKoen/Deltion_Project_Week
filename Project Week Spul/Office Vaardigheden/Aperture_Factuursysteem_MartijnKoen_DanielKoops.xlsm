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2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om\Documents\ICT Opleiding\Vakken\Projectweken\Deltion_Project_Week\Project Week Spul\Office Vaardigheden\"/>
    </mc:Choice>
  </mc:AlternateContent>
  <xr:revisionPtr revIDLastSave="0" documentId="13_ncr:1_{757447AA-44EA-45F4-B4B9-F0F307CA446B}" xr6:coauthVersionLast="47" xr6:coauthVersionMax="47" xr10:uidLastSave="{00000000-0000-0000-0000-000000000000}"/>
  <bookViews>
    <workbookView xWindow="-120" yWindow="-120" windowWidth="38640" windowHeight="21120" tabRatio="661" activeTab="5" xr2:uid="{A62E4529-2F44-4596-B980-7371E80CEC5C}"/>
  </bookViews>
  <sheets>
    <sheet name="Knoppen" sheetId="1" r:id="rId1"/>
    <sheet name="Factuurgegevens" sheetId="2" r:id="rId2"/>
    <sheet name="FactuurKlant" sheetId="3" r:id="rId3"/>
    <sheet name="KopieFactuur" sheetId="8" r:id="rId4"/>
    <sheet name="KlantToevoegen" sheetId="6" r:id="rId5"/>
    <sheet name="Klantgegevens" sheetId="5" r:id="rId6"/>
    <sheet name="Producten" sheetId="7" r:id="rId7"/>
  </sheets>
  <functionGroups builtInGroupCount="19"/>
  <definedNames>
    <definedName name="_xlnm.Print_Area" localSheetId="2">FactuurKlant!$A$1:$P$54</definedName>
    <definedName name="_xlnm.Print_Area" localSheetId="3">KopieFactuur!$A$1:$P$56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0" i="8" l="1"/>
  <c r="C36" i="8"/>
  <c r="A36" i="8"/>
  <c r="C35" i="8"/>
  <c r="A35" i="8"/>
  <c r="C34" i="8"/>
  <c r="A34" i="8"/>
  <c r="C33" i="8"/>
  <c r="A33" i="8"/>
  <c r="C32" i="8"/>
  <c r="A32" i="8"/>
  <c r="G31" i="8"/>
  <c r="C31" i="8"/>
  <c r="A31" i="8"/>
  <c r="C30" i="8"/>
  <c r="A30" i="8"/>
  <c r="C29" i="8"/>
  <c r="A29" i="8"/>
  <c r="C28" i="8"/>
  <c r="A28" i="8"/>
  <c r="C27" i="8"/>
  <c r="A27" i="8"/>
  <c r="C26" i="8"/>
  <c r="A26" i="8"/>
  <c r="X25" i="8"/>
  <c r="W25" i="8"/>
  <c r="C25" i="8"/>
  <c r="A25" i="8"/>
  <c r="C8" i="2"/>
  <c r="J15" i="8" s="1"/>
  <c r="C6" i="2"/>
  <c r="C5" i="2"/>
  <c r="I40" i="3"/>
  <c r="E16" i="2"/>
  <c r="G25" i="3" s="1"/>
  <c r="H16" i="2"/>
  <c r="J25" i="3" s="1"/>
  <c r="E17" i="2"/>
  <c r="G26" i="3" s="1"/>
  <c r="H17" i="2"/>
  <c r="I17" i="2" s="1"/>
  <c r="L26" i="8" s="1"/>
  <c r="E18" i="2"/>
  <c r="G27" i="3" s="1"/>
  <c r="H18" i="2"/>
  <c r="I18" i="2" s="1"/>
  <c r="L27" i="3" s="1"/>
  <c r="E19" i="2"/>
  <c r="G28" i="3" s="1"/>
  <c r="H19" i="2"/>
  <c r="I19" i="2" s="1"/>
  <c r="L28" i="3" s="1"/>
  <c r="E20" i="2"/>
  <c r="G29" i="3" s="1"/>
  <c r="H20" i="2"/>
  <c r="I20" i="2" s="1"/>
  <c r="L29" i="3" s="1"/>
  <c r="E21" i="2"/>
  <c r="G30" i="3" s="1"/>
  <c r="H21" i="2"/>
  <c r="J30" i="3" s="1"/>
  <c r="E22" i="2"/>
  <c r="G31" i="3" s="1"/>
  <c r="H22" i="2"/>
  <c r="J31" i="3" s="1"/>
  <c r="E23" i="2"/>
  <c r="G32" i="3" s="1"/>
  <c r="H23" i="2"/>
  <c r="J32" i="3" s="1"/>
  <c r="E24" i="2"/>
  <c r="G33" i="3" s="1"/>
  <c r="H24" i="2"/>
  <c r="J33" i="3" s="1"/>
  <c r="E25" i="2"/>
  <c r="G34" i="3" s="1"/>
  <c r="H25" i="2"/>
  <c r="J34" i="3" s="1"/>
  <c r="E26" i="2"/>
  <c r="G35" i="3" s="1"/>
  <c r="H26" i="2"/>
  <c r="I26" i="2" s="1"/>
  <c r="L35" i="3" s="1"/>
  <c r="E27" i="2"/>
  <c r="G36" i="3" s="1"/>
  <c r="H27" i="2"/>
  <c r="J36" i="3" s="1"/>
  <c r="C26" i="3"/>
  <c r="C27" i="3"/>
  <c r="C28" i="3"/>
  <c r="C29" i="3"/>
  <c r="C30" i="3"/>
  <c r="C31" i="3"/>
  <c r="C32" i="3"/>
  <c r="C33" i="3"/>
  <c r="C34" i="3"/>
  <c r="C35" i="3"/>
  <c r="C36" i="3"/>
  <c r="C25" i="3"/>
  <c r="A26" i="3"/>
  <c r="A27" i="3"/>
  <c r="A28" i="3"/>
  <c r="A29" i="3"/>
  <c r="A30" i="3"/>
  <c r="A31" i="3"/>
  <c r="A32" i="3"/>
  <c r="A33" i="3"/>
  <c r="A34" i="3"/>
  <c r="A35" i="3"/>
  <c r="A36" i="3"/>
  <c r="A25" i="3"/>
  <c r="W25" i="3"/>
  <c r="X25" i="3" s="1"/>
  <c r="B2" i="5" a="1"/>
  <c r="B6" i="5" a="1"/>
  <c r="B5" i="5" a="1"/>
  <c r="B7" i="5" a="1"/>
  <c r="B3" i="5" a="1"/>
  <c r="B4" i="5" a="1"/>
  <c r="B9" i="5" a="1"/>
  <c r="B8" i="5" a="1"/>
  <c r="B2" i="5" l="1"/>
  <c r="J33" i="8"/>
  <c r="G29" i="8"/>
  <c r="G34" i="8"/>
  <c r="G26" i="8"/>
  <c r="G25" i="8"/>
  <c r="G36" i="8"/>
  <c r="J36" i="8"/>
  <c r="G35" i="8"/>
  <c r="J35" i="8"/>
  <c r="J34" i="8"/>
  <c r="G33" i="8"/>
  <c r="G32" i="8"/>
  <c r="J32" i="8"/>
  <c r="J31" i="8"/>
  <c r="J30" i="8"/>
  <c r="G30" i="8"/>
  <c r="J29" i="8"/>
  <c r="G28" i="8"/>
  <c r="J28" i="8"/>
  <c r="G27" i="8"/>
  <c r="J27" i="8"/>
  <c r="J26" i="8"/>
  <c r="J25" i="8"/>
  <c r="L35" i="8"/>
  <c r="L27" i="8"/>
  <c r="L29" i="8"/>
  <c r="L28" i="8"/>
  <c r="J15" i="3"/>
  <c r="B3" i="5"/>
  <c r="I23" i="2"/>
  <c r="B4" i="5"/>
  <c r="B9" i="5"/>
  <c r="B8" i="5"/>
  <c r="B7" i="5"/>
  <c r="J28" i="3"/>
  <c r="J27" i="3"/>
  <c r="I27" i="2"/>
  <c r="J35" i="3"/>
  <c r="I25" i="2"/>
  <c r="I24" i="2"/>
  <c r="I22" i="2"/>
  <c r="I21" i="2"/>
  <c r="J29" i="3"/>
  <c r="I16" i="2"/>
  <c r="J26" i="3"/>
  <c r="L26" i="3"/>
  <c r="B5" i="5"/>
  <c r="B6" i="5"/>
  <c r="C11" i="2"/>
  <c r="C9" i="2"/>
  <c r="C10" i="2"/>
  <c r="L34" i="3" l="1"/>
  <c r="L34" i="8"/>
  <c r="L25" i="3"/>
  <c r="L25" i="8"/>
  <c r="L32" i="3"/>
  <c r="L32" i="8"/>
  <c r="L36" i="3"/>
  <c r="L36" i="8"/>
  <c r="L30" i="3"/>
  <c r="L30" i="8"/>
  <c r="L31" i="3"/>
  <c r="L31" i="8"/>
  <c r="L33" i="3"/>
  <c r="L33" i="8"/>
  <c r="J18" i="8"/>
  <c r="J17" i="8"/>
  <c r="J16" i="8"/>
  <c r="J16" i="3"/>
  <c r="J17" i="3"/>
  <c r="J18" i="3"/>
  <c r="M39" i="3"/>
  <c r="I28" i="2"/>
  <c r="M39" i="8" l="1"/>
  <c r="M40" i="8" s="1"/>
  <c r="M43" i="8" s="1"/>
  <c r="M40" i="3"/>
  <c r="M4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<sst xmlns="http://schemas.openxmlformats.org/spreadsheetml/2006/main" count="123" uniqueCount="105">
  <si>
    <t>verkorte naam</t>
  </si>
  <si>
    <t xml:space="preserve">adres </t>
  </si>
  <si>
    <t>postcode</t>
  </si>
  <si>
    <t>woonplaats</t>
  </si>
  <si>
    <t>factuurnumer</t>
  </si>
  <si>
    <t>datum</t>
  </si>
  <si>
    <t>aan</t>
  </si>
  <si>
    <t>adres</t>
  </si>
  <si>
    <t>BTW-Tarief</t>
  </si>
  <si>
    <t>aantal</t>
  </si>
  <si>
    <t xml:space="preserve">prijs per stuk </t>
  </si>
  <si>
    <t>totaal</t>
  </si>
  <si>
    <t>Voornaam</t>
  </si>
  <si>
    <t>Achternaam</t>
  </si>
  <si>
    <t>Voornamen</t>
  </si>
  <si>
    <t>Postcode</t>
  </si>
  <si>
    <t>Woonplaats</t>
  </si>
  <si>
    <t>Adres</t>
  </si>
  <si>
    <t>Koen</t>
  </si>
  <si>
    <t>Martijn</t>
  </si>
  <si>
    <t>Veenlanden 5</t>
  </si>
  <si>
    <t>Steenwijk</t>
  </si>
  <si>
    <t>email</t>
  </si>
  <si>
    <t>martijn6707@outlook.com</t>
  </si>
  <si>
    <t>Product</t>
  </si>
  <si>
    <t>Prijs</t>
  </si>
  <si>
    <t>Artikelnummer</t>
  </si>
  <si>
    <t>Modem</t>
  </si>
  <si>
    <t>Router</t>
  </si>
  <si>
    <t>Network Antenne</t>
  </si>
  <si>
    <t>Switchboard</t>
  </si>
  <si>
    <t>Internetkabel 5m</t>
  </si>
  <si>
    <t>Internetkabel 10m</t>
  </si>
  <si>
    <t>internetkabel 20m</t>
  </si>
  <si>
    <t>Office Pakket</t>
  </si>
  <si>
    <t>Muis</t>
  </si>
  <si>
    <t>Toetsenbord</t>
  </si>
  <si>
    <t>Beeldscherm</t>
  </si>
  <si>
    <t>Beveiligingscamera set</t>
  </si>
  <si>
    <t>Artikel nummer</t>
  </si>
  <si>
    <t>9882KR</t>
  </si>
  <si>
    <t>Janssen</t>
  </si>
  <si>
    <t>Dezestraat 1</t>
  </si>
  <si>
    <t>5552DN</t>
  </si>
  <si>
    <t>Amsterdam</t>
  </si>
  <si>
    <t>JantjeJanssen@gmail.com</t>
  </si>
  <si>
    <t>Mozartlaan 15, 8031 AA, Zwolle</t>
  </si>
  <si>
    <t>www.computing.aperture.com</t>
  </si>
  <si>
    <t xml:space="preserve">info-computing@aperture.com </t>
  </si>
  <si>
    <t>(513) 273-7724</t>
  </si>
  <si>
    <t>Hierbij factureren wij u de volgende goederen en/of diensten</t>
  </si>
  <si>
    <t>AANTAL</t>
  </si>
  <si>
    <t>PRODUCT</t>
  </si>
  <si>
    <t>BEDRAG</t>
  </si>
  <si>
    <t>TOTAAL</t>
  </si>
  <si>
    <t>Totaal:</t>
  </si>
  <si>
    <t>BTW:</t>
  </si>
  <si>
    <t>Totaal te betalen:</t>
  </si>
  <si>
    <t>ARTIKELNUMMER</t>
  </si>
  <si>
    <t>Aan:</t>
  </si>
  <si>
    <t>Betaling s.v.p binnen 14 dagen onder vermelding van factuurnummer</t>
  </si>
  <si>
    <t>TEL: (513) 273-7724</t>
  </si>
  <si>
    <t>Bank: Rabobank Hasselt - Rek Nr: NL99ABNA1234567890</t>
  </si>
  <si>
    <t>Anna</t>
  </si>
  <si>
    <t>Naas</t>
  </si>
  <si>
    <t>Appalboom 3</t>
  </si>
  <si>
    <t>5512LF</t>
  </si>
  <si>
    <t>Rotterdam</t>
  </si>
  <si>
    <t>anna@naas.nl</t>
  </si>
  <si>
    <t>Tante</t>
  </si>
  <si>
    <t>Tinus</t>
  </si>
  <si>
    <t>boekkapot 45</t>
  </si>
  <si>
    <t>9992BF</t>
  </si>
  <si>
    <t>Appelscha</t>
  </si>
  <si>
    <t>AnnekeTannneke@myspace.nl</t>
  </si>
  <si>
    <t>Erwin</t>
  </si>
  <si>
    <t>Verhoek</t>
  </si>
  <si>
    <t>Stationweg 51</t>
  </si>
  <si>
    <t>7425FG</t>
  </si>
  <si>
    <t>Groningen</t>
  </si>
  <si>
    <t>Erin@outlook.com</t>
  </si>
  <si>
    <t>Jaap</t>
  </si>
  <si>
    <t>Dinggessen</t>
  </si>
  <si>
    <t>klapweg 45</t>
  </si>
  <si>
    <t>8142RB</t>
  </si>
  <si>
    <t>Breda</t>
  </si>
  <si>
    <t>Jaapje@hotmail.com</t>
  </si>
  <si>
    <t>excl BTW</t>
  </si>
  <si>
    <t>Janje Klaassen</t>
  </si>
  <si>
    <t>Jantje Aaltje Marie</t>
  </si>
  <si>
    <t>Geennen</t>
  </si>
  <si>
    <t>hoekstraat 85</t>
  </si>
  <si>
    <t>1514DF</t>
  </si>
  <si>
    <t>Apeldoorn</t>
  </si>
  <si>
    <t xml:space="preserve">A.Marie@gmail.com </t>
  </si>
  <si>
    <t>Email</t>
  </si>
  <si>
    <t>BTW</t>
  </si>
  <si>
    <t>Kopie Factuur</t>
  </si>
  <si>
    <t>J.K Janssen</t>
  </si>
  <si>
    <t>Daniël</t>
  </si>
  <si>
    <t>Koops</t>
  </si>
  <si>
    <t>Kamperweg 52</t>
  </si>
  <si>
    <t>8181 CN</t>
  </si>
  <si>
    <t>Heerde</t>
  </si>
  <si>
    <t>danielkoops2003@gmail.com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</si>
</sst>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_([$€-2]\ * #,##0.00_);_([$€-2]\ * \(#,##0.00\);_([$€-2]\ * &quot;-&quot;??_);_(@_)"/>
    <numFmt numFmtId="166" formatCode="0.0%"/>
  </numFmts>
  <fonts count="1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BDC1C6"/>
      <name val="Arial"/>
      <family val="2"/>
    </font>
    <font>
      <sz val="12"/>
      <color theme="1"/>
      <name val="Verdana Pro"/>
      <family val="2"/>
    </font>
    <font>
      <sz val="11"/>
      <color theme="1"/>
      <name val="Verdana Pro"/>
      <family val="2"/>
    </font>
    <font>
      <b/>
      <i/>
      <u/>
      <sz val="12"/>
      <color theme="1"/>
      <name val="Verdana Pro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36"/>
      <color theme="1"/>
      <name val="Verdana Pro"/>
      <family val="2"/>
    </font>
    <font>
      <sz val="11"/>
      <color rgb="FF4C6984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284D63"/>
        <bgColor indexed="64"/>
      </patternFill>
    </fill>
    <fill>
      <patternFill patternType="solid">
        <fgColor rgb="FFDBE9F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7">
    <xf numFmtId="0" fontId="0" fillId="0" borderId="0" xfId="0"/>
    <xf numFmtId="165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2"/>
    <xf numFmtId="0" fontId="0" fillId="0" borderId="0" xfId="0" applyNumberFormat="1"/>
    <xf numFmtId="0" fontId="0" fillId="0" borderId="0" xfId="0" quotePrefix="1"/>
    <xf numFmtId="165" fontId="0" fillId="0" borderId="0" xfId="0" quotePrefix="1" applyNumberFormat="1"/>
    <xf numFmtId="0" fontId="0" fillId="0" borderId="0" xfId="0" quotePrefix="1" applyNumberFormat="1"/>
    <xf numFmtId="0" fontId="0" fillId="0" borderId="0" xfId="0" applyFill="1"/>
    <xf numFmtId="0" fontId="0" fillId="0" borderId="0" xfId="0" applyFill="1" applyBorder="1"/>
    <xf numFmtId="166" fontId="6" fillId="0" borderId="0" xfId="1" applyNumberFormat="1" applyFont="1" applyFill="1" applyBorder="1" applyAlignment="1">
      <alignment horizontal="left"/>
    </xf>
    <xf numFmtId="0" fontId="6" fillId="0" borderId="0" xfId="0" applyFont="1" applyFill="1"/>
    <xf numFmtId="0" fontId="0" fillId="2" borderId="0" xfId="0" applyFill="1"/>
    <xf numFmtId="165" fontId="0" fillId="2" borderId="0" xfId="0" applyNumberFormat="1" applyFill="1"/>
    <xf numFmtId="0" fontId="0" fillId="2" borderId="0" xfId="0" quotePrefix="1" applyFill="1"/>
    <xf numFmtId="165" fontId="0" fillId="0" borderId="0" xfId="0" applyNumberFormat="1" applyFill="1"/>
    <xf numFmtId="0" fontId="0" fillId="0" borderId="0" xfId="0" applyNumberFormat="1" applyFill="1"/>
    <xf numFmtId="0" fontId="6" fillId="0" borderId="0" xfId="0" applyFont="1" applyFill="1" applyBorder="1"/>
    <xf numFmtId="0" fontId="6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9" fillId="0" borderId="0" xfId="0" applyFont="1"/>
    <xf numFmtId="166" fontId="6" fillId="0" borderId="0" xfId="0" applyNumberFormat="1" applyFont="1" applyFill="1" applyBorder="1" applyAlignment="1">
      <alignment horizontal="right"/>
    </xf>
    <xf numFmtId="0" fontId="12" fillId="0" borderId="0" xfId="0" applyFont="1" applyFill="1"/>
    <xf numFmtId="0" fontId="12" fillId="2" borderId="0" xfId="0" applyFont="1" applyFill="1"/>
    <xf numFmtId="0" fontId="0" fillId="0" borderId="0" xfId="0" applyFill="1" applyAlignment="1">
      <alignment horizontal="left"/>
    </xf>
    <xf numFmtId="0" fontId="0" fillId="2" borderId="0" xfId="0" quotePrefix="1" applyNumberFormat="1" applyFill="1"/>
    <xf numFmtId="0" fontId="0" fillId="2" borderId="0" xfId="0" applyNumberFormat="1" applyFill="1"/>
    <xf numFmtId="0" fontId="10" fillId="0" borderId="0" xfId="0" applyFont="1" applyFill="1"/>
    <xf numFmtId="9" fontId="10" fillId="0" borderId="0" xfId="0" applyNumberFormat="1" applyFont="1" applyFill="1"/>
    <xf numFmtId="0" fontId="0" fillId="3" borderId="10" xfId="0" applyFill="1" applyBorder="1"/>
    <xf numFmtId="0" fontId="0" fillId="3" borderId="10" xfId="0" applyFill="1" applyBorder="1" applyAlignment="1">
      <alignment horizontal="left"/>
    </xf>
    <xf numFmtId="166" fontId="0" fillId="3" borderId="10" xfId="1" applyNumberFormat="1" applyFont="1" applyFill="1" applyBorder="1" applyAlignment="1">
      <alignment horizontal="left"/>
    </xf>
    <xf numFmtId="14" fontId="0" fillId="3" borderId="10" xfId="0" applyNumberFormat="1" applyFill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15" xfId="0" applyBorder="1"/>
    <xf numFmtId="0" fontId="9" fillId="0" borderId="0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2" borderId="0" xfId="0" applyFont="1" applyFill="1" applyAlignment="1">
      <alignment horizontal="left" vertical="center" wrapText="1" indent="1"/>
    </xf>
    <xf numFmtId="0" fontId="0" fillId="0" borderId="15" xfId="0" applyFill="1" applyBorder="1"/>
    <xf numFmtId="0" fontId="0" fillId="0" borderId="1" xfId="0" applyFill="1" applyBorder="1"/>
    <xf numFmtId="0" fontId="0" fillId="0" borderId="19" xfId="0" applyFill="1" applyBorder="1"/>
    <xf numFmtId="0" fontId="0" fillId="0" borderId="21" xfId="0" applyFill="1" applyBorder="1"/>
    <xf numFmtId="0" fontId="0" fillId="0" borderId="20" xfId="0" applyFill="1" applyBorder="1"/>
    <xf numFmtId="16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left"/>
    </xf>
    <xf numFmtId="0" fontId="8" fillId="0" borderId="0" xfId="0" applyFont="1" applyFill="1" applyBorder="1"/>
    <xf numFmtId="0" fontId="6" fillId="0" borderId="0" xfId="0" applyFont="1" applyFill="1" applyBorder="1" applyAlignment="1">
      <alignment horizontal="left"/>
    </xf>
    <xf numFmtId="165" fontId="6" fillId="0" borderId="0" xfId="0" applyNumberFormat="1" applyFont="1" applyFill="1" applyBorder="1"/>
    <xf numFmtId="165" fontId="6" fillId="0" borderId="2" xfId="0" applyNumberFormat="1" applyFont="1" applyFill="1" applyBorder="1"/>
    <xf numFmtId="164" fontId="6" fillId="0" borderId="1" xfId="0" applyNumberFormat="1" applyFont="1" applyFill="1" applyBorder="1" applyAlignment="1">
      <alignment horizontal="left"/>
    </xf>
    <xf numFmtId="164" fontId="6" fillId="0" borderId="3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0" xfId="0" applyFont="1" applyAlignment="1">
      <alignment horizontal="left" vertical="center"/>
    </xf>
    <xf numFmtId="0" fontId="8" fillId="0" borderId="0" xfId="0" applyFont="1" applyFill="1" applyBorder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11" fillId="0" borderId="4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11">
    <dxf>
      <numFmt numFmtId="0" formatCode="General"/>
    </dxf>
    <dxf>
      <numFmt numFmtId="165" formatCode="_([$€-2]\ * #,##0.00_);_([$€-2]\ * \(#,##0.00\);_([$€-2]\ * &quot;-&quot;??_);_(@_)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6" tint="0.79998168889431442"/>
          <bgColor theme="6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6" tint="0.39997558519241921"/>
        </left>
        <right/>
        <top style="thin">
          <color theme="6" tint="0.39997558519241921"/>
        </top>
        <bottom style="thin">
          <color theme="6" tint="0.39997558519241921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84D63"/>
      <color rgb="FFDBE9F1"/>
      <color rgb="FFABCADD"/>
      <color rgb="FF4C69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19050</xdr:rowOff>
        </xdr:from>
        <xdr:to>
          <xdr:col>4</xdr:col>
          <xdr:colOff>19050</xdr:colOff>
          <xdr:row>6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Factuurgegevens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19050</xdr:rowOff>
        </xdr:from>
        <xdr:to>
          <xdr:col>8</xdr:col>
          <xdr:colOff>9525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Factuur afdrukken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4</xdr:col>
          <xdr:colOff>0</xdr:colOff>
          <xdr:row>11</xdr:row>
          <xdr:rowOff>38100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klant toevoegen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aan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600075</xdr:colOff>
          <xdr:row>11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Klant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19050</xdr:rowOff>
        </xdr:from>
        <xdr:to>
          <xdr:col>4</xdr:col>
          <xdr:colOff>0</xdr:colOff>
          <xdr:row>16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Producten overzicht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175260</xdr:colOff>
      <xdr:row>17</xdr:row>
      <xdr:rowOff>38100</xdr:rowOff>
    </xdr:from>
    <xdr:to>
      <xdr:col>8</xdr:col>
      <xdr:colOff>390414</xdr:colOff>
      <xdr:row>25</xdr:row>
      <xdr:rowOff>166910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" y="3147060"/>
          <a:ext cx="5091954" cy="15918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</xdr:row>
          <xdr:rowOff>123825</xdr:rowOff>
        </xdr:from>
        <xdr:to>
          <xdr:col>16</xdr:col>
          <xdr:colOff>19050</xdr:colOff>
          <xdr:row>4</xdr:row>
          <xdr:rowOff>171450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Factuur afronden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1</xdr:row>
          <xdr:rowOff>123825</xdr:rowOff>
        </xdr:from>
        <xdr:to>
          <xdr:col>19</xdr:col>
          <xdr:colOff>228600</xdr:colOff>
          <xdr:row>4</xdr:row>
          <xdr:rowOff>171450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Factuur resetten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133350</xdr:rowOff>
        </xdr:from>
        <xdr:to>
          <xdr:col>16</xdr:col>
          <xdr:colOff>9525</xdr:colOff>
          <xdr:row>9</xdr:row>
          <xdr:rowOff>171450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313765</xdr:colOff>
      <xdr:row>10</xdr:row>
      <xdr:rowOff>152400</xdr:rowOff>
    </xdr:from>
    <xdr:to>
      <xdr:col>20</xdr:col>
      <xdr:colOff>448237</xdr:colOff>
      <xdr:row>16</xdr:row>
      <xdr:rowOff>256109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6541" y="1945341"/>
          <a:ext cx="5091954" cy="1591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76202</xdr:colOff>
      <xdr:row>0</xdr:row>
      <xdr:rowOff>69273</xdr:rowOff>
    </xdr:from>
    <xdr:to>
      <xdr:col>9</xdr:col>
      <xdr:colOff>30098</xdr:colOff>
      <xdr:row>9</xdr:row>
      <xdr:rowOff>147459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4472C4">
              <a:tint val="45000"/>
              <a:satMod val="400000"/>
            </a:srgbClr>
          </a:duotone>
          <a:alphaModFix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colorTemperature colorTemp="1500"/>
                  </a14:imgEffect>
                  <a14:imgEffect>
                    <a14:saturation sat="33000"/>
                  </a14:imgEffect>
                  <a14:imgEffect>
                    <a14:brightnessContrast bright="-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2" y="69273"/>
          <a:ext cx="6169639" cy="19287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19050</xdr:colOff>
          <xdr:row>0</xdr:row>
          <xdr:rowOff>200025</xdr:rowOff>
        </xdr:from>
        <xdr:to>
          <xdr:col>22</xdr:col>
          <xdr:colOff>19050</xdr:colOff>
          <xdr:row>3</xdr:row>
          <xdr:rowOff>180975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Factuuroverzicht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38100</xdr:colOff>
          <xdr:row>6</xdr:row>
          <xdr:rowOff>19050</xdr:rowOff>
        </xdr:from>
        <xdr:to>
          <xdr:col>22</xdr:col>
          <xdr:colOff>38100</xdr:colOff>
          <xdr:row>9</xdr:row>
          <xdr:rowOff>9525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Factuur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19050</xdr:colOff>
          <xdr:row>11</xdr:row>
          <xdr:rowOff>28575</xdr:rowOff>
        </xdr:from>
        <xdr:to>
          <xdr:col>22</xdr:col>
          <xdr:colOff>19050</xdr:colOff>
          <xdr:row>14</xdr:row>
          <xdr:rowOff>19050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19050</xdr:colOff>
          <xdr:row>1</xdr:row>
          <xdr:rowOff>19050</xdr:rowOff>
        </xdr:from>
        <xdr:to>
          <xdr:col>26</xdr:col>
          <xdr:colOff>19050</xdr:colOff>
          <xdr:row>3</xdr:row>
          <xdr:rowOff>209550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Naar Factuur Kopie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19050</xdr:colOff>
          <xdr:row>6</xdr:row>
          <xdr:rowOff>9525</xdr:rowOff>
        </xdr:from>
        <xdr:to>
          <xdr:col>26</xdr:col>
          <xdr:colOff>19050</xdr:colOff>
          <xdr:row>8</xdr:row>
          <xdr:rowOff>200025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2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Factuur Kopie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348342</xdr:colOff>
      <xdr:row>15</xdr:row>
      <xdr:rowOff>54429</xdr:rowOff>
    </xdr:from>
    <xdr:to>
      <xdr:col>26</xdr:col>
      <xdr:colOff>563496</xdr:colOff>
      <xdr:row>22</xdr:row>
      <xdr:rowOff>24308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3028" y="3145972"/>
          <a:ext cx="5091954" cy="15918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47625</xdr:colOff>
          <xdr:row>1</xdr:row>
          <xdr:rowOff>19050</xdr:rowOff>
        </xdr:from>
        <xdr:to>
          <xdr:col>22</xdr:col>
          <xdr:colOff>47625</xdr:colOff>
          <xdr:row>3</xdr:row>
          <xdr:rowOff>209550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Factuuroverzicht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57150</xdr:colOff>
          <xdr:row>5</xdr:row>
          <xdr:rowOff>171450</xdr:rowOff>
        </xdr:from>
        <xdr:to>
          <xdr:col>22</xdr:col>
          <xdr:colOff>57150</xdr:colOff>
          <xdr:row>8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Factuur Kopie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38100</xdr:colOff>
          <xdr:row>11</xdr:row>
          <xdr:rowOff>19050</xdr:rowOff>
        </xdr:from>
        <xdr:to>
          <xdr:col>22</xdr:col>
          <xdr:colOff>38100</xdr:colOff>
          <xdr:row>14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47625</xdr:colOff>
          <xdr:row>1</xdr:row>
          <xdr:rowOff>19050</xdr:rowOff>
        </xdr:from>
        <xdr:to>
          <xdr:col>26</xdr:col>
          <xdr:colOff>47625</xdr:colOff>
          <xdr:row>3</xdr:row>
          <xdr:rowOff>200025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printen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272144</xdr:colOff>
      <xdr:row>14</xdr:row>
      <xdr:rowOff>152400</xdr:rowOff>
    </xdr:from>
    <xdr:to>
      <xdr:col>26</xdr:col>
      <xdr:colOff>487298</xdr:colOff>
      <xdr:row>21</xdr:row>
      <xdr:rowOff>296450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9315" y="3058886"/>
          <a:ext cx="5091954" cy="1591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161925</xdr:rowOff>
        </xdr:from>
        <xdr:to>
          <xdr:col>9</xdr:col>
          <xdr:colOff>19050</xdr:colOff>
          <xdr:row>5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Gegevens toevoegen aan klantbestand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</xdr:row>
          <xdr:rowOff>171450</xdr:rowOff>
        </xdr:from>
        <xdr:to>
          <xdr:col>12</xdr:col>
          <xdr:colOff>590550</xdr:colOff>
          <xdr:row>5</xdr:row>
          <xdr:rowOff>28575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invulvelden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12</xdr:row>
          <xdr:rowOff>19050</xdr:rowOff>
        </xdr:from>
        <xdr:to>
          <xdr:col>9</xdr:col>
          <xdr:colOff>19050</xdr:colOff>
          <xdr:row>15</xdr:row>
          <xdr:rowOff>57150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</xdr:colOff>
          <xdr:row>7</xdr:row>
          <xdr:rowOff>19050</xdr:rowOff>
        </xdr:from>
        <xdr:to>
          <xdr:col>9</xdr:col>
          <xdr:colOff>9525</xdr:colOff>
          <xdr:row>10</xdr:row>
          <xdr:rowOff>19050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 naar klantbestand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205740</xdr:colOff>
      <xdr:row>16</xdr:row>
      <xdr:rowOff>76200</xdr:rowOff>
    </xdr:from>
    <xdr:to>
      <xdr:col>13</xdr:col>
      <xdr:colOff>489474</xdr:colOff>
      <xdr:row>25</xdr:row>
      <xdr:rowOff>22130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9780" y="3002280"/>
          <a:ext cx="5091954" cy="15918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5443</xdr:colOff>
          <xdr:row>2</xdr:row>
          <xdr:rowOff>19050</xdr:rowOff>
        </xdr:from>
        <xdr:to>
          <xdr:col>12</xdr:col>
          <xdr:colOff>609600</xdr:colOff>
          <xdr:row>4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5443</xdr:colOff>
          <xdr:row>7</xdr:row>
          <xdr:rowOff>19050</xdr:rowOff>
        </xdr:from>
        <xdr:to>
          <xdr:col>12</xdr:col>
          <xdr:colOff>609600</xdr:colOff>
          <xdr:row>9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Klant toevoegen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20683</xdr:colOff>
      <xdr:row>11</xdr:row>
      <xdr:rowOff>147708</xdr:rowOff>
    </xdr:from>
    <xdr:to>
      <xdr:col>13</xdr:col>
      <xdr:colOff>544286</xdr:colOff>
      <xdr:row>16</xdr:row>
      <xdr:rowOff>148405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9283" y="1998279"/>
          <a:ext cx="2962003" cy="92598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19050</xdr:rowOff>
        </xdr:from>
        <xdr:to>
          <xdr:col>9</xdr:col>
          <xdr:colOff>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Terug naar Knoppen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160020</xdr:colOff>
      <xdr:row>5</xdr:row>
      <xdr:rowOff>123232</xdr:rowOff>
    </xdr:from>
    <xdr:to>
      <xdr:col>9</xdr:col>
      <xdr:colOff>518160</xdr:colOff>
      <xdr:row>10</xdr:row>
      <xdr:rowOff>83089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3920" y="1037632"/>
          <a:ext cx="2796540" cy="8742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74038-CC7D-4F9D-BC50-85B784BCD9FC}" name="Table3" displayName="Table3" ref="B1:H10" totalsRowShown="0" headerRowDxfId="10" dataDxfId="9">
  <autoFilter ref="B1:H10" xr:uid="{E7474038-CC7D-4F9D-BC50-85B784BCD9FC}"/>
  <sortState xmlns:xlrd2="http://schemas.microsoft.com/office/spreadsheetml/2017/richdata2" ref="B2:H10">
    <sortCondition ref="D1:D10"/>
  </sortState>
  <tableColumns count="7">
    <tableColumn id="1" xr3:uid="{833B5496-30EE-4073-B973-09EFD0B73F72}" name="verkorte naam" dataDxfId="8">
      <calculatedColumnFormula array="1">ExtractFirstLetter(C2)&amp;" "&amp;PROPER(D2)</calculatedColumnFormula>
    </tableColumn>
    <tableColumn id="2" xr3:uid="{66F6850B-53E2-4677-9A8D-C9A6EA03CE2B}" name="Voornaam" dataDxfId="7"/>
    <tableColumn id="3" xr3:uid="{E182AEE2-D1BB-4CFA-B58B-1BB836B7E341}" name="Achternaam" dataDxfId="6"/>
    <tableColumn id="4" xr3:uid="{51940793-F4D6-4FF3-91EB-B3D14B7DC1BA}" name="adres " dataDxfId="5"/>
    <tableColumn id="5" xr3:uid="{B51366D1-5857-4E30-B1CA-385A613ED508}" name="postcode" dataDxfId="4"/>
    <tableColumn id="6" xr3:uid="{591FC9BC-C7FB-4306-A109-578FA9BB849C}" name="woonplaats" dataDxfId="3"/>
    <tableColumn id="7" xr3:uid="{8E1EE6EA-467F-40AB-B0C8-9B46ACCB3306}" name="email" dataDxfId="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1F2E47-9F9A-4050-98B0-F932E505F4A0}" name="Table1" displayName="Table1" ref="B2:D15" totalsRowShown="0">
  <autoFilter ref="B2:D15" xr:uid="{B21F2E47-9F9A-4050-98B0-F932E505F4A0}"/>
  <sortState xmlns:xlrd2="http://schemas.microsoft.com/office/spreadsheetml/2017/richdata2" ref="B3:D14">
    <sortCondition ref="B2:B14"/>
  </sortState>
  <tableColumns count="3">
    <tableColumn id="1" xr3:uid="{E8A0A92A-6E16-496D-BAF3-234F2C07B002}" name="Product"/>
    <tableColumn id="2" xr3:uid="{F59D0F50-4B72-4F00-9E34-5DD1D8F6CE75}" name="Prijs" dataDxfId="1"/>
    <tableColumn id="3" xr3:uid="{95E3BE60-CB2C-40AC-8DE4-57BC8D79348C}" name="Artikelnummer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danielkoops2003@gmail.com" TargetMode="External"/><Relationship Id="rId13" Type="http://schemas.openxmlformats.org/officeDocument/2006/relationships/ctrlProp" Target="../ctrlProps/ctrlProp23.xml"/><Relationship Id="rId3" Type="http://schemas.openxmlformats.org/officeDocument/2006/relationships/hyperlink" Target="mailto:anna@naas.nl" TargetMode="External"/><Relationship Id="rId7" Type="http://schemas.openxmlformats.org/officeDocument/2006/relationships/hyperlink" Target="mailto:A.Marie@gmail.com" TargetMode="External"/><Relationship Id="rId12" Type="http://schemas.openxmlformats.org/officeDocument/2006/relationships/ctrlProp" Target="../ctrlProps/ctrlProp22.xml"/><Relationship Id="rId2" Type="http://schemas.openxmlformats.org/officeDocument/2006/relationships/hyperlink" Target="mailto:JantjeJanssen@gmail.com" TargetMode="External"/><Relationship Id="rId1" Type="http://schemas.openxmlformats.org/officeDocument/2006/relationships/hyperlink" Target="mailto:martijn6707@outlook.com" TargetMode="External"/><Relationship Id="rId6" Type="http://schemas.openxmlformats.org/officeDocument/2006/relationships/hyperlink" Target="mailto:Jaapje@hotmail.com" TargetMode="External"/><Relationship Id="rId11" Type="http://schemas.openxmlformats.org/officeDocument/2006/relationships/vmlDrawing" Target="../drawings/vmlDrawing6.vml"/><Relationship Id="rId5" Type="http://schemas.openxmlformats.org/officeDocument/2006/relationships/hyperlink" Target="mailto:Erin@outlook.com" TargetMode="External"/><Relationship Id="rId10" Type="http://schemas.openxmlformats.org/officeDocument/2006/relationships/drawing" Target="../drawings/drawing6.xml"/><Relationship Id="rId4" Type="http://schemas.openxmlformats.org/officeDocument/2006/relationships/hyperlink" Target="mailto:AnnekeTannneke@myspace.nl" TargetMode="External"/><Relationship Id="rId9" Type="http://schemas.openxmlformats.org/officeDocument/2006/relationships/printerSettings" Target="../printerSettings/printerSettings5.bin"/><Relationship Id="rId1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041B-AD02-4FBD-95D2-5EAA539361BA}">
  <sheetPr codeName="Sheet1"/>
  <dimension ref="A1:I58"/>
  <sheetViews>
    <sheetView workbookViewId="0">
      <selection activeCell="C5" sqref="C5"/>
    </sheetView>
  </sheetViews>
  <sheetFormatPr defaultRowHeight="15" x14ac:dyDescent="0.25"/>
  <sheetData>
    <row r="1" spans="1:9" x14ac:dyDescent="0.25">
      <c r="A1" s="24"/>
      <c r="B1" s="24"/>
      <c r="C1" s="24"/>
      <c r="D1" s="24"/>
      <c r="E1" s="24"/>
      <c r="F1" s="24"/>
      <c r="G1" s="24"/>
      <c r="H1" s="24"/>
      <c r="I1" s="24"/>
    </row>
    <row r="2" spans="1:9" x14ac:dyDescent="0.25">
      <c r="A2" s="24"/>
      <c r="B2" s="24"/>
      <c r="C2" s="24"/>
      <c r="D2" s="24"/>
      <c r="E2" s="24"/>
      <c r="F2" s="24"/>
      <c r="G2" s="24"/>
      <c r="H2" s="24"/>
      <c r="I2" s="24"/>
    </row>
    <row r="3" spans="1:9" x14ac:dyDescent="0.25">
      <c r="A3" s="24"/>
      <c r="B3" s="24"/>
      <c r="C3" s="24"/>
      <c r="D3" s="24"/>
      <c r="E3" s="24"/>
      <c r="F3" s="24"/>
      <c r="G3" s="24"/>
      <c r="H3" s="24"/>
      <c r="I3" s="24"/>
    </row>
    <row r="4" spans="1:9" x14ac:dyDescent="0.25">
      <c r="A4" s="24"/>
      <c r="B4" s="24"/>
      <c r="C4" s="24"/>
      <c r="D4" s="24"/>
      <c r="E4" s="24"/>
      <c r="F4" s="24"/>
      <c r="G4" s="24"/>
      <c r="H4" s="24"/>
      <c r="I4" s="24"/>
    </row>
    <row r="5" spans="1:9" x14ac:dyDescent="0.25">
      <c r="A5" s="24"/>
      <c r="B5" s="24"/>
      <c r="C5" s="24"/>
      <c r="D5" s="24"/>
      <c r="E5" s="24"/>
      <c r="F5" s="24"/>
      <c r="G5" s="24"/>
      <c r="H5" s="24"/>
      <c r="I5" s="24"/>
    </row>
    <row r="6" spans="1:9" x14ac:dyDescent="0.25">
      <c r="A6" s="24"/>
      <c r="B6" s="24"/>
      <c r="C6" s="24"/>
      <c r="D6" s="24"/>
      <c r="E6" s="24"/>
      <c r="F6" s="24"/>
      <c r="G6" s="24"/>
      <c r="H6" s="24"/>
      <c r="I6" s="24"/>
    </row>
    <row r="7" spans="1:9" x14ac:dyDescent="0.25">
      <c r="A7" s="24"/>
      <c r="B7" s="24"/>
      <c r="C7" s="24"/>
      <c r="D7" s="24"/>
      <c r="E7" s="24"/>
      <c r="F7" s="24"/>
      <c r="G7" s="24"/>
      <c r="H7" s="24"/>
      <c r="I7" s="24"/>
    </row>
    <row r="8" spans="1:9" x14ac:dyDescent="0.25">
      <c r="A8" s="24"/>
      <c r="B8" s="24"/>
      <c r="C8" s="24"/>
      <c r="D8" s="24"/>
      <c r="E8" s="24"/>
      <c r="F8" s="24"/>
      <c r="G8" s="24"/>
      <c r="H8" s="24"/>
      <c r="I8" s="24"/>
    </row>
    <row r="9" spans="1:9" x14ac:dyDescent="0.25">
      <c r="A9" s="24"/>
      <c r="B9" s="24"/>
      <c r="C9" s="24"/>
      <c r="D9" s="24"/>
      <c r="E9" s="24"/>
      <c r="F9" s="24"/>
      <c r="G9" s="24"/>
      <c r="H9" s="24"/>
      <c r="I9" s="24"/>
    </row>
    <row r="10" spans="1:9" x14ac:dyDescent="0.25">
      <c r="A10" s="24"/>
      <c r="B10" s="24"/>
      <c r="C10" s="24"/>
      <c r="D10" s="24"/>
      <c r="E10" s="24"/>
      <c r="F10" s="24"/>
      <c r="G10" s="24"/>
      <c r="H10" s="24"/>
      <c r="I10" s="24"/>
    </row>
    <row r="11" spans="1:9" x14ac:dyDescent="0.25">
      <c r="A11" s="24"/>
      <c r="B11" s="24"/>
      <c r="C11" s="24"/>
      <c r="D11" s="24"/>
      <c r="E11" s="24"/>
      <c r="F11" s="24"/>
      <c r="G11" s="24"/>
      <c r="H11" s="24"/>
      <c r="I11" s="24"/>
    </row>
    <row r="12" spans="1:9" x14ac:dyDescent="0.25">
      <c r="A12" s="24"/>
      <c r="B12" s="24"/>
      <c r="C12" s="24"/>
      <c r="D12" s="24"/>
      <c r="E12" s="24"/>
      <c r="F12" s="24"/>
      <c r="G12" s="24"/>
      <c r="H12" s="24"/>
      <c r="I12" s="24"/>
    </row>
    <row r="13" spans="1:9" x14ac:dyDescent="0.25">
      <c r="A13" s="24"/>
      <c r="B13" s="24"/>
      <c r="C13" s="24"/>
      <c r="D13" s="24"/>
      <c r="E13" s="24"/>
      <c r="F13" s="24"/>
      <c r="G13" s="24"/>
      <c r="H13" s="24"/>
      <c r="I13" s="24"/>
    </row>
    <row r="14" spans="1:9" x14ac:dyDescent="0.25">
      <c r="A14" s="24"/>
      <c r="B14" s="24"/>
      <c r="C14" s="24"/>
      <c r="D14" s="24"/>
      <c r="E14" s="24"/>
      <c r="F14" s="24"/>
      <c r="G14" s="24"/>
      <c r="H14" s="24"/>
      <c r="I14" s="24"/>
    </row>
    <row r="15" spans="1:9" x14ac:dyDescent="0.25">
      <c r="A15" s="24"/>
      <c r="B15" s="24"/>
      <c r="C15" s="24"/>
      <c r="D15" s="24"/>
      <c r="E15" s="24"/>
      <c r="F15" s="24"/>
      <c r="G15" s="24"/>
      <c r="H15" s="24"/>
      <c r="I15" s="24"/>
    </row>
    <row r="16" spans="1:9" x14ac:dyDescent="0.25">
      <c r="A16" s="24"/>
      <c r="B16" s="24"/>
      <c r="C16" s="24"/>
      <c r="D16" s="24"/>
      <c r="E16" s="24"/>
      <c r="F16" s="24"/>
      <c r="G16" s="24"/>
      <c r="H16" s="24"/>
      <c r="I16" s="24"/>
    </row>
    <row r="17" spans="1:9" x14ac:dyDescent="0.25">
      <c r="A17" s="24"/>
      <c r="B17" s="24"/>
      <c r="C17" s="24"/>
      <c r="D17" s="24"/>
      <c r="E17" s="24"/>
      <c r="F17" s="24"/>
      <c r="G17" s="24"/>
      <c r="H17" s="24"/>
      <c r="I17" s="24"/>
    </row>
    <row r="18" spans="1:9" x14ac:dyDescent="0.25">
      <c r="A18" s="24"/>
      <c r="B18" s="24"/>
      <c r="C18" s="24"/>
      <c r="D18" s="24"/>
      <c r="E18" s="24"/>
      <c r="F18" s="24"/>
      <c r="G18" s="24"/>
      <c r="H18" s="24"/>
      <c r="I18" s="24"/>
    </row>
    <row r="19" spans="1:9" x14ac:dyDescent="0.25">
      <c r="A19" s="24"/>
      <c r="B19" s="24"/>
      <c r="C19" s="24"/>
      <c r="D19" s="24"/>
      <c r="E19" s="24"/>
      <c r="F19" s="24"/>
      <c r="G19" s="24"/>
      <c r="H19" s="24"/>
      <c r="I19" s="24"/>
    </row>
    <row r="20" spans="1:9" x14ac:dyDescent="0.25">
      <c r="A20" s="24"/>
      <c r="B20" s="24"/>
      <c r="C20" s="24"/>
      <c r="D20" s="24"/>
      <c r="E20" s="24"/>
      <c r="F20" s="24"/>
      <c r="G20" s="24"/>
      <c r="H20" s="24"/>
      <c r="I20" s="24"/>
    </row>
    <row r="21" spans="1:9" x14ac:dyDescent="0.25">
      <c r="A21" s="24"/>
      <c r="B21" s="24"/>
      <c r="C21" s="24"/>
      <c r="D21" s="24"/>
      <c r="E21" s="24"/>
      <c r="F21" s="24"/>
      <c r="G21" s="24"/>
      <c r="H21" s="24"/>
      <c r="I21" s="24"/>
    </row>
    <row r="22" spans="1:9" x14ac:dyDescent="0.25">
      <c r="A22" s="24"/>
      <c r="B22" s="24"/>
      <c r="C22" s="24"/>
      <c r="D22" s="24"/>
      <c r="E22" s="24"/>
      <c r="F22" s="24"/>
      <c r="G22" s="24"/>
      <c r="H22" s="24"/>
      <c r="I22" s="24"/>
    </row>
    <row r="23" spans="1:9" x14ac:dyDescent="0.25">
      <c r="A23" s="24"/>
      <c r="B23" s="24"/>
      <c r="C23" s="24"/>
      <c r="D23" s="24"/>
      <c r="E23" s="24"/>
      <c r="F23" s="24"/>
      <c r="G23" s="24"/>
      <c r="H23" s="24"/>
      <c r="I23" s="24"/>
    </row>
    <row r="24" spans="1:9" x14ac:dyDescent="0.25">
      <c r="A24" s="24"/>
      <c r="B24" s="24"/>
      <c r="C24" s="24"/>
      <c r="D24" s="24"/>
      <c r="E24" s="24"/>
      <c r="F24" s="24"/>
      <c r="G24" s="24"/>
      <c r="H24" s="24"/>
      <c r="I24" s="24"/>
    </row>
    <row r="25" spans="1:9" x14ac:dyDescent="0.25">
      <c r="A25" s="24"/>
      <c r="B25" s="24"/>
      <c r="C25" s="24"/>
      <c r="D25" s="24"/>
      <c r="E25" s="24"/>
      <c r="F25" s="24"/>
      <c r="G25" s="24"/>
      <c r="H25" s="24"/>
      <c r="I25" s="24"/>
    </row>
    <row r="26" spans="1:9" x14ac:dyDescent="0.25">
      <c r="A26" s="24"/>
      <c r="B26" s="24"/>
      <c r="C26" s="24"/>
      <c r="D26" s="24"/>
      <c r="E26" s="24"/>
      <c r="F26" s="24"/>
      <c r="G26" s="24"/>
      <c r="H26" s="24"/>
      <c r="I26" s="24"/>
    </row>
    <row r="27" spans="1:9" x14ac:dyDescent="0.25">
      <c r="A27" s="24"/>
      <c r="B27" s="24"/>
      <c r="C27" s="24"/>
      <c r="D27" s="24"/>
      <c r="E27" s="24"/>
      <c r="F27" s="24"/>
      <c r="G27" s="24"/>
      <c r="H27" s="24"/>
      <c r="I27" s="24"/>
    </row>
    <row r="28" spans="1:9" x14ac:dyDescent="0.25">
      <c r="A28" s="23"/>
      <c r="B28" s="23"/>
      <c r="C28" s="23"/>
      <c r="D28" s="23"/>
      <c r="E28" s="23"/>
      <c r="F28" s="23"/>
      <c r="G28" s="23"/>
      <c r="H28" s="23"/>
      <c r="I28" s="23"/>
    </row>
    <row r="29" spans="1:9" x14ac:dyDescent="0.25">
      <c r="A29" s="23"/>
      <c r="B29" s="23"/>
      <c r="C29" s="23"/>
      <c r="D29" s="23"/>
      <c r="E29" s="23"/>
      <c r="F29" s="23"/>
      <c r="G29" s="23"/>
      <c r="H29" s="23"/>
      <c r="I29" s="23"/>
    </row>
    <row r="30" spans="1:9" x14ac:dyDescent="0.25">
      <c r="A30" s="23"/>
      <c r="B30" s="23"/>
      <c r="C30" s="23"/>
      <c r="D30" s="23"/>
      <c r="E30" s="23"/>
      <c r="F30" s="23"/>
      <c r="G30" s="23"/>
      <c r="H30" s="23"/>
      <c r="I30" s="23"/>
    </row>
    <row r="31" spans="1:9" x14ac:dyDescent="0.25">
      <c r="A31" s="23"/>
      <c r="B31" s="23"/>
      <c r="C31" s="23"/>
      <c r="D31" s="23"/>
      <c r="E31" s="23"/>
      <c r="F31" s="23"/>
      <c r="G31" s="23"/>
      <c r="H31" s="23"/>
      <c r="I31" s="23"/>
    </row>
    <row r="32" spans="1:9" x14ac:dyDescent="0.25">
      <c r="A32" s="23"/>
      <c r="B32" s="23"/>
      <c r="C32" s="23"/>
      <c r="D32" s="23"/>
      <c r="E32" s="23"/>
      <c r="F32" s="23"/>
      <c r="G32" s="23"/>
      <c r="H32" s="23"/>
      <c r="I32" s="23"/>
    </row>
    <row r="33" spans="1:9" x14ac:dyDescent="0.25">
      <c r="A33" s="23"/>
      <c r="B33" s="23"/>
      <c r="C33" s="23"/>
      <c r="D33" s="23"/>
      <c r="E33" s="23"/>
      <c r="F33" s="23"/>
      <c r="G33" s="23"/>
      <c r="H33" s="23"/>
      <c r="I33" s="23"/>
    </row>
    <row r="34" spans="1:9" x14ac:dyDescent="0.25">
      <c r="A34" s="23"/>
      <c r="B34" s="23"/>
      <c r="C34" s="23"/>
      <c r="D34" s="23"/>
      <c r="E34" s="23"/>
      <c r="F34" s="23"/>
      <c r="G34" s="23"/>
      <c r="H34" s="23"/>
      <c r="I34" s="23"/>
    </row>
    <row r="35" spans="1:9" x14ac:dyDescent="0.25">
      <c r="A35" s="23"/>
      <c r="B35" s="23"/>
      <c r="C35" s="23"/>
      <c r="D35" s="23"/>
      <c r="E35" s="23"/>
      <c r="F35" s="23"/>
      <c r="G35" s="23"/>
      <c r="H35" s="23"/>
      <c r="I35" s="23"/>
    </row>
    <row r="36" spans="1:9" x14ac:dyDescent="0.25">
      <c r="A36" s="23"/>
      <c r="B36" s="23"/>
      <c r="C36" s="23"/>
      <c r="D36" s="23"/>
      <c r="E36" s="23"/>
      <c r="F36" s="23"/>
      <c r="G36" s="23"/>
      <c r="H36" s="23"/>
      <c r="I36" s="23"/>
    </row>
    <row r="37" spans="1:9" x14ac:dyDescent="0.25">
      <c r="A37" s="23"/>
      <c r="B37" s="23"/>
      <c r="C37" s="23"/>
      <c r="D37" s="23"/>
      <c r="E37" s="23"/>
      <c r="F37" s="23"/>
      <c r="G37" s="23"/>
      <c r="H37" s="23"/>
      <c r="I37" s="23"/>
    </row>
    <row r="38" spans="1:9" x14ac:dyDescent="0.25">
      <c r="A38" s="23"/>
      <c r="B38" s="23"/>
      <c r="C38" s="23"/>
      <c r="D38" s="23"/>
      <c r="E38" s="23"/>
      <c r="F38" s="23"/>
      <c r="G38" s="23"/>
      <c r="H38" s="23"/>
      <c r="I38" s="23"/>
    </row>
    <row r="39" spans="1:9" x14ac:dyDescent="0.25">
      <c r="A39" s="23"/>
      <c r="B39" s="23"/>
      <c r="C39" s="23"/>
      <c r="D39" s="23"/>
      <c r="E39" s="23"/>
      <c r="F39" s="23"/>
      <c r="G39" s="23"/>
      <c r="H39" s="23"/>
      <c r="I39" s="23"/>
    </row>
    <row r="40" spans="1:9" x14ac:dyDescent="0.25">
      <c r="A40" s="23"/>
      <c r="B40" s="23"/>
      <c r="C40" s="23"/>
      <c r="D40" s="23"/>
      <c r="E40" s="23"/>
      <c r="F40" s="23"/>
      <c r="G40" s="23"/>
      <c r="H40" s="23"/>
      <c r="I40" s="23"/>
    </row>
    <row r="41" spans="1:9" x14ac:dyDescent="0.25">
      <c r="A41" s="23"/>
      <c r="B41" s="23"/>
      <c r="C41" s="23"/>
      <c r="D41" s="23"/>
      <c r="E41" s="23"/>
      <c r="F41" s="23"/>
      <c r="G41" s="23"/>
      <c r="H41" s="23"/>
      <c r="I41" s="23"/>
    </row>
    <row r="42" spans="1:9" x14ac:dyDescent="0.25">
      <c r="A42" s="23"/>
      <c r="B42" s="23"/>
      <c r="C42" s="23"/>
      <c r="D42" s="23"/>
      <c r="E42" s="23"/>
      <c r="F42" s="23"/>
      <c r="G42" s="23"/>
      <c r="H42" s="23"/>
      <c r="I42" s="23"/>
    </row>
    <row r="43" spans="1:9" x14ac:dyDescent="0.25">
      <c r="A43" s="23"/>
      <c r="B43" s="23"/>
      <c r="C43" s="23"/>
      <c r="D43" s="23"/>
      <c r="E43" s="23"/>
      <c r="F43" s="23"/>
      <c r="G43" s="23"/>
      <c r="H43" s="23"/>
      <c r="I43" s="23"/>
    </row>
    <row r="44" spans="1:9" x14ac:dyDescent="0.25">
      <c r="A44" s="23"/>
      <c r="B44" s="23"/>
      <c r="C44" s="23"/>
      <c r="D44" s="23"/>
      <c r="E44" s="23"/>
      <c r="F44" s="23"/>
      <c r="G44" s="23"/>
      <c r="H44" s="23"/>
      <c r="I44" s="23"/>
    </row>
    <row r="45" spans="1:9" x14ac:dyDescent="0.25">
      <c r="A45" s="23"/>
      <c r="B45" s="23"/>
      <c r="C45" s="23"/>
      <c r="D45" s="23"/>
      <c r="E45" s="23"/>
      <c r="F45" s="23"/>
      <c r="G45" s="23"/>
      <c r="H45" s="23"/>
      <c r="I45" s="23"/>
    </row>
    <row r="46" spans="1:9" x14ac:dyDescent="0.25">
      <c r="A46" s="23"/>
      <c r="B46" s="23"/>
      <c r="C46" s="23"/>
      <c r="D46" s="23"/>
      <c r="E46" s="23"/>
      <c r="F46" s="23"/>
      <c r="G46" s="23"/>
      <c r="H46" s="23"/>
      <c r="I46" s="23"/>
    </row>
    <row r="47" spans="1:9" x14ac:dyDescent="0.25">
      <c r="A47" s="23"/>
      <c r="B47" s="23"/>
      <c r="C47" s="23"/>
      <c r="D47" s="23"/>
      <c r="E47" s="23"/>
      <c r="F47" s="23"/>
      <c r="G47" s="23"/>
      <c r="H47" s="23"/>
      <c r="I47" s="23"/>
    </row>
    <row r="48" spans="1:9" x14ac:dyDescent="0.25">
      <c r="A48" s="23"/>
      <c r="B48" s="23"/>
      <c r="C48" s="23"/>
      <c r="D48" s="23"/>
      <c r="E48" s="23"/>
      <c r="F48" s="23"/>
      <c r="G48" s="23"/>
      <c r="H48" s="23"/>
      <c r="I48" s="23"/>
    </row>
    <row r="49" spans="1:9" x14ac:dyDescent="0.25">
      <c r="A49" s="23"/>
      <c r="B49" s="23"/>
      <c r="C49" s="23"/>
      <c r="D49" s="23"/>
      <c r="E49" s="23"/>
      <c r="F49" s="23"/>
      <c r="G49" s="23"/>
      <c r="H49" s="23"/>
      <c r="I49" s="23"/>
    </row>
    <row r="50" spans="1:9" x14ac:dyDescent="0.25">
      <c r="A50" s="23"/>
      <c r="B50" s="23"/>
      <c r="C50" s="23"/>
      <c r="D50" s="23"/>
      <c r="E50" s="23"/>
      <c r="F50" s="23"/>
      <c r="G50" s="23"/>
      <c r="H50" s="23"/>
      <c r="I50" s="23"/>
    </row>
    <row r="51" spans="1:9" x14ac:dyDescent="0.25">
      <c r="A51" s="23"/>
      <c r="B51" s="23"/>
      <c r="C51" s="23"/>
      <c r="D51" s="23"/>
      <c r="E51" s="23"/>
      <c r="F51" s="23"/>
      <c r="G51" s="23"/>
      <c r="H51" s="23"/>
      <c r="I51" s="23"/>
    </row>
    <row r="52" spans="1:9" x14ac:dyDescent="0.25">
      <c r="A52" s="23"/>
      <c r="B52" s="23"/>
      <c r="C52" s="23"/>
      <c r="D52" s="23"/>
      <c r="E52" s="23"/>
      <c r="F52" s="23"/>
      <c r="G52" s="23"/>
      <c r="H52" s="23"/>
      <c r="I52" s="23"/>
    </row>
    <row r="53" spans="1:9" x14ac:dyDescent="0.25">
      <c r="A53" s="23"/>
      <c r="B53" s="23"/>
      <c r="C53" s="23"/>
      <c r="D53" s="23"/>
      <c r="E53" s="23"/>
      <c r="F53" s="23"/>
      <c r="G53" s="23"/>
      <c r="H53" s="23"/>
      <c r="I53" s="23"/>
    </row>
    <row r="54" spans="1:9" x14ac:dyDescent="0.25">
      <c r="A54" s="23"/>
      <c r="B54" s="23"/>
      <c r="C54" s="23"/>
      <c r="D54" s="23"/>
      <c r="E54" s="23"/>
      <c r="F54" s="23"/>
      <c r="G54" s="23"/>
      <c r="H54" s="23"/>
      <c r="I54" s="23"/>
    </row>
    <row r="55" spans="1:9" x14ac:dyDescent="0.25">
      <c r="A55" s="23"/>
      <c r="B55" s="23"/>
      <c r="C55" s="23"/>
      <c r="D55" s="23"/>
      <c r="E55" s="23"/>
      <c r="F55" s="23"/>
      <c r="G55" s="23"/>
      <c r="H55" s="23"/>
      <c r="I55" s="23"/>
    </row>
    <row r="56" spans="1:9" x14ac:dyDescent="0.25">
      <c r="A56" s="23"/>
      <c r="B56" s="23"/>
      <c r="C56" s="23"/>
      <c r="D56" s="23"/>
      <c r="E56" s="23"/>
      <c r="F56" s="23"/>
      <c r="G56" s="23"/>
      <c r="H56" s="23"/>
      <c r="I56" s="23"/>
    </row>
    <row r="57" spans="1:9" x14ac:dyDescent="0.25">
      <c r="A57" s="23"/>
      <c r="B57" s="23"/>
      <c r="C57" s="23"/>
      <c r="D57" s="23"/>
      <c r="E57" s="23"/>
      <c r="F57" s="23"/>
      <c r="G57" s="23"/>
      <c r="H57" s="23"/>
      <c r="I57" s="23"/>
    </row>
    <row r="58" spans="1:9" x14ac:dyDescent="0.25">
      <c r="A58" s="23"/>
      <c r="B58" s="23"/>
      <c r="C58" s="23"/>
      <c r="D58" s="23"/>
      <c r="E58" s="23"/>
      <c r="F58" s="23"/>
      <c r="G58" s="23"/>
      <c r="H58" s="23"/>
      <c r="I58" s="2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oto_Factuurgegevens">
                <anchor moveWithCells="1" sizeWithCells="1">
                  <from>
                    <xdr:col>1</xdr:col>
                    <xdr:colOff>19050</xdr:colOff>
                    <xdr:row>3</xdr:row>
                    <xdr:rowOff>19050</xdr:rowOff>
                  </from>
                  <to>
                    <xdr:col>4</xdr:col>
                    <xdr:colOff>19050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nish_Invoice">
                <anchor moveWithCells="1" sizeWithCells="1">
                  <from>
                    <xdr:col>5</xdr:col>
                    <xdr:colOff>19050</xdr:colOff>
                    <xdr:row>3</xdr:row>
                    <xdr:rowOff>19050</xdr:rowOff>
                  </from>
                  <to>
                    <xdr:col>8</xdr:col>
                    <xdr:colOff>9525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goto_NieuweKlant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4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goto_Klantbestand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600075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goto_Producten">
                <anchor moveWithCells="1" sizeWithCells="1">
                  <from>
                    <xdr:col>1</xdr:col>
                    <xdr:colOff>9525</xdr:colOff>
                    <xdr:row>13</xdr:row>
                    <xdr:rowOff>19050</xdr:rowOff>
                  </from>
                  <to>
                    <xdr:col>4</xdr:col>
                    <xdr:colOff>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658E7-49E9-4563-A7EA-9F7A0E463821}">
  <sheetPr codeName="Sheet2">
    <pageSetUpPr fitToPage="1"/>
  </sheetPr>
  <dimension ref="A1:Y33"/>
  <sheetViews>
    <sheetView zoomScale="85" zoomScaleNormal="85" workbookViewId="0">
      <selection activeCell="B19" sqref="B19"/>
    </sheetView>
  </sheetViews>
  <sheetFormatPr defaultRowHeight="15" x14ac:dyDescent="0.25"/>
  <cols>
    <col min="1" max="1" width="3.28515625" customWidth="1"/>
    <col min="2" max="2" width="13.7109375" customWidth="1"/>
    <col min="3" max="3" width="25.28515625" customWidth="1"/>
    <col min="4" max="4" width="1.5703125" customWidth="1"/>
    <col min="5" max="5" width="13.5703125" customWidth="1"/>
    <col min="6" max="6" width="2.7109375" customWidth="1"/>
    <col min="7" max="7" width="2.140625" customWidth="1"/>
    <col min="8" max="8" width="12.7109375" customWidth="1"/>
    <col min="9" max="9" width="12.28515625" customWidth="1"/>
    <col min="17" max="17" width="10" customWidth="1"/>
  </cols>
  <sheetData>
    <row r="1" spans="2:25" x14ac:dyDescent="0.25">
      <c r="K1" s="13"/>
      <c r="M1" s="13"/>
      <c r="N1" s="13"/>
      <c r="O1" s="13"/>
      <c r="P1" s="13"/>
      <c r="Q1" s="13"/>
      <c r="R1" s="13"/>
      <c r="S1" s="13"/>
      <c r="T1" s="13"/>
      <c r="U1" s="13"/>
    </row>
    <row r="2" spans="2:25" x14ac:dyDescent="0.25">
      <c r="K2" s="13"/>
      <c r="M2" s="13"/>
      <c r="N2" s="13"/>
      <c r="O2" s="13"/>
      <c r="P2" s="13"/>
      <c r="Q2" s="13"/>
      <c r="R2" s="13"/>
      <c r="S2" s="13"/>
      <c r="T2" s="13"/>
      <c r="U2" s="13"/>
      <c r="Y2" s="28" t="s">
        <v>96</v>
      </c>
    </row>
    <row r="3" spans="2:25" x14ac:dyDescent="0.25">
      <c r="B3" s="21" t="s">
        <v>0</v>
      </c>
      <c r="C3" s="31" t="s">
        <v>98</v>
      </c>
      <c r="D3" s="13"/>
      <c r="K3" s="13"/>
      <c r="M3" s="13"/>
      <c r="N3" s="13"/>
      <c r="O3" s="13"/>
      <c r="P3" s="13"/>
      <c r="Q3" s="13"/>
      <c r="R3" s="13"/>
      <c r="S3" s="13"/>
      <c r="T3" s="13"/>
      <c r="U3" s="13"/>
      <c r="Y3" s="29">
        <v>0</v>
      </c>
    </row>
    <row r="4" spans="2:25" x14ac:dyDescent="0.25">
      <c r="B4" s="21"/>
      <c r="C4" s="25"/>
      <c r="K4" s="13"/>
      <c r="M4" s="13"/>
      <c r="N4" s="13"/>
      <c r="O4" s="13"/>
      <c r="P4" s="13"/>
      <c r="Q4" s="13"/>
      <c r="R4" s="13"/>
      <c r="S4" s="13"/>
      <c r="T4" s="13"/>
      <c r="U4" s="13"/>
      <c r="Y4" s="29">
        <v>0.06</v>
      </c>
    </row>
    <row r="5" spans="2:25" x14ac:dyDescent="0.25">
      <c r="B5" s="21" t="s">
        <v>4</v>
      </c>
      <c r="C5" s="31">
        <f ca="1">RANDBETWEEN(100000,999999)</f>
        <v>241527</v>
      </c>
      <c r="K5" s="15"/>
      <c r="L5" s="7"/>
      <c r="M5" s="26"/>
      <c r="N5" s="13"/>
      <c r="O5" s="13"/>
      <c r="P5" s="13"/>
      <c r="Q5" s="13"/>
      <c r="R5" s="13"/>
      <c r="S5" s="13"/>
      <c r="T5" s="13"/>
      <c r="U5" s="13"/>
      <c r="Y5" s="29">
        <v>0.21</v>
      </c>
    </row>
    <row r="6" spans="2:25" x14ac:dyDescent="0.25">
      <c r="B6" s="21" t="s">
        <v>5</v>
      </c>
      <c r="C6" s="33">
        <f ca="1">TODAY()</f>
        <v>44579</v>
      </c>
      <c r="K6" s="13"/>
      <c r="L6" s="1"/>
      <c r="M6" s="27"/>
      <c r="N6" s="13"/>
      <c r="O6" s="13"/>
      <c r="P6" s="13"/>
      <c r="Q6" s="13"/>
      <c r="R6" s="13"/>
      <c r="S6" s="13"/>
      <c r="T6" s="13"/>
      <c r="U6" s="13"/>
    </row>
    <row r="7" spans="2:25" x14ac:dyDescent="0.25">
      <c r="B7" s="21"/>
      <c r="C7" s="25"/>
      <c r="K7" s="13"/>
      <c r="L7" s="1"/>
      <c r="M7" s="27"/>
      <c r="N7" s="13"/>
      <c r="O7" s="13"/>
      <c r="P7" s="13"/>
      <c r="Q7" s="13"/>
      <c r="R7" s="13"/>
      <c r="S7" s="13"/>
      <c r="T7" s="13"/>
      <c r="U7" s="13"/>
    </row>
    <row r="8" spans="2:25" x14ac:dyDescent="0.25">
      <c r="B8" s="21" t="s">
        <v>6</v>
      </c>
      <c r="C8" s="31" t="str">
        <f>IF(Factuurgegevens!C3="","",Factuurgegevens!C3)</f>
        <v>J.K Janssen</v>
      </c>
      <c r="K8" s="13"/>
      <c r="L8" s="1"/>
      <c r="M8" s="27"/>
      <c r="N8" s="13"/>
      <c r="O8" s="13"/>
      <c r="P8" s="13"/>
      <c r="Q8" s="13"/>
      <c r="R8" s="13"/>
      <c r="S8" s="13"/>
      <c r="T8" s="13"/>
      <c r="U8" s="13"/>
    </row>
    <row r="9" spans="2:25" x14ac:dyDescent="0.25">
      <c r="B9" s="21" t="s">
        <v>7</v>
      </c>
      <c r="C9" s="31" t="str">
        <f ca="1">IF($C$3="","",VLOOKUP($C$3,INDIRECT("Klantgegevens!B2:H50"),(4),FALSE))</f>
        <v>Dezestraat 1</v>
      </c>
      <c r="K9" s="13"/>
      <c r="L9" s="1"/>
      <c r="M9" s="27"/>
      <c r="N9" s="13"/>
      <c r="O9" s="13"/>
      <c r="P9" s="13"/>
      <c r="Q9" s="13"/>
      <c r="R9" s="13"/>
      <c r="S9" s="13"/>
      <c r="T9" s="13"/>
      <c r="U9" s="13"/>
    </row>
    <row r="10" spans="2:25" x14ac:dyDescent="0.25">
      <c r="B10" s="21" t="s">
        <v>2</v>
      </c>
      <c r="C10" s="31" t="str">
        <f ca="1">IF($C$3="","",VLOOKUP($C$3,INDIRECT("Klantgegevens!B2:H50"),(5),FALSE))</f>
        <v>5552DN</v>
      </c>
      <c r="K10" s="13"/>
      <c r="L10" s="1"/>
      <c r="M10" s="27"/>
      <c r="N10" s="13"/>
      <c r="O10" s="13"/>
      <c r="P10" s="13"/>
      <c r="Q10" s="13"/>
      <c r="R10" s="13"/>
      <c r="S10" s="13"/>
      <c r="T10" s="13"/>
      <c r="U10" s="13"/>
    </row>
    <row r="11" spans="2:25" x14ac:dyDescent="0.25">
      <c r="B11" s="21" t="s">
        <v>3</v>
      </c>
      <c r="C11" s="31" t="str">
        <f ca="1">IF($C$3="","",VLOOKUP($C$3,INDIRECT("Klantgegevens!B2:H50"),(6),FALSE))</f>
        <v>Amsterdam</v>
      </c>
      <c r="K11" s="13"/>
      <c r="L11" s="1"/>
      <c r="M11" s="27"/>
      <c r="N11" s="13"/>
      <c r="O11" s="13"/>
      <c r="P11" s="13"/>
      <c r="Q11" s="13"/>
      <c r="R11" s="13"/>
      <c r="S11" s="13"/>
      <c r="T11" s="13"/>
      <c r="U11" s="13"/>
    </row>
    <row r="12" spans="2:25" x14ac:dyDescent="0.25">
      <c r="B12" s="21" t="s">
        <v>8</v>
      </c>
      <c r="C12" s="32">
        <v>0.21</v>
      </c>
      <c r="K12" s="13"/>
      <c r="L12" s="1"/>
      <c r="M12" s="27"/>
      <c r="N12" s="13"/>
      <c r="O12" s="13"/>
      <c r="P12" s="13"/>
      <c r="Q12" s="13"/>
      <c r="R12" s="13"/>
      <c r="S12" s="13"/>
      <c r="T12" s="13"/>
      <c r="U12" s="13"/>
    </row>
    <row r="13" spans="2:25" x14ac:dyDescent="0.25">
      <c r="K13" s="13"/>
      <c r="L13" s="1"/>
      <c r="M13" s="27"/>
      <c r="N13" s="13"/>
      <c r="O13" s="13"/>
      <c r="P13" s="13"/>
      <c r="Q13" s="13"/>
      <c r="R13" s="13"/>
      <c r="S13" s="13"/>
      <c r="T13" s="13"/>
      <c r="U13" s="13"/>
    </row>
    <row r="14" spans="2:25" x14ac:dyDescent="0.25">
      <c r="K14" s="13"/>
      <c r="L14" s="1"/>
      <c r="M14" s="27"/>
      <c r="N14" s="13"/>
      <c r="O14" s="13"/>
      <c r="P14" s="13"/>
      <c r="Q14" s="13"/>
      <c r="R14" s="13"/>
      <c r="S14" s="13"/>
      <c r="T14" s="13"/>
      <c r="U14" s="13"/>
    </row>
    <row r="15" spans="2:25" ht="30" customHeight="1" x14ac:dyDescent="0.25">
      <c r="B15" s="21" t="s">
        <v>9</v>
      </c>
      <c r="C15" s="21" t="s">
        <v>24</v>
      </c>
      <c r="D15" s="21"/>
      <c r="E15" s="21" t="s">
        <v>39</v>
      </c>
      <c r="F15" s="21"/>
      <c r="G15" s="21"/>
      <c r="H15" s="21" t="s">
        <v>10</v>
      </c>
      <c r="I15" s="21" t="s">
        <v>11</v>
      </c>
      <c r="K15" s="13"/>
      <c r="L15" s="1"/>
      <c r="M15" s="27"/>
      <c r="N15" s="13"/>
      <c r="O15" s="13"/>
      <c r="P15" s="13"/>
      <c r="Q15" s="13"/>
      <c r="R15" s="13"/>
      <c r="S15" s="13"/>
      <c r="T15" s="13"/>
      <c r="U15" s="13"/>
    </row>
    <row r="16" spans="2:25" ht="30" customHeight="1" x14ac:dyDescent="0.25">
      <c r="B16">
        <v>2</v>
      </c>
      <c r="C16" t="s">
        <v>31</v>
      </c>
      <c r="D16" s="13"/>
      <c r="E16">
        <f>IF(C16="", "", VLOOKUP(C16,Table1[],3,FALSE))</f>
        <v>542369</v>
      </c>
      <c r="H16" s="1">
        <f>IF(C16="", "",VLOOKUP(C16,Table1[],2,FALSE))</f>
        <v>6.98</v>
      </c>
      <c r="I16" s="1">
        <f>IF(C16="", "", H16*B16)</f>
        <v>13.96</v>
      </c>
      <c r="K16" s="13"/>
      <c r="L16" s="1"/>
      <c r="M16" s="27"/>
      <c r="N16" s="13"/>
      <c r="O16" s="13"/>
      <c r="P16" s="13"/>
      <c r="Q16" s="13"/>
      <c r="R16" s="13"/>
      <c r="S16" s="13"/>
      <c r="T16" s="13"/>
      <c r="U16" s="13"/>
    </row>
    <row r="17" spans="1:21" ht="30" customHeight="1" x14ac:dyDescent="0.25">
      <c r="B17">
        <v>1</v>
      </c>
      <c r="C17" t="s">
        <v>27</v>
      </c>
      <c r="D17" s="13"/>
      <c r="E17">
        <f>IF(C17="", "", VLOOKUP(C17,Table1[],3,FALSE))</f>
        <v>959947</v>
      </c>
      <c r="H17" s="1">
        <f>IF(C17="", "",VLOOKUP(C17,Table1[],2,FALSE))</f>
        <v>86.5</v>
      </c>
      <c r="I17" s="1">
        <f t="shared" ref="I17:I27" si="0">IF(C17="", "", H17*B17)</f>
        <v>86.5</v>
      </c>
      <c r="K17" s="13"/>
      <c r="L17" s="1"/>
      <c r="M17" s="27"/>
      <c r="N17" s="13"/>
      <c r="O17" s="13"/>
      <c r="P17" s="13"/>
      <c r="Q17" s="13"/>
      <c r="R17" s="13"/>
      <c r="S17" s="13"/>
      <c r="T17" s="13"/>
      <c r="U17" s="13"/>
    </row>
    <row r="18" spans="1:21" ht="30" customHeight="1" x14ac:dyDescent="0.25">
      <c r="B18">
        <v>1</v>
      </c>
      <c r="C18" t="s">
        <v>38</v>
      </c>
      <c r="D18" s="13"/>
      <c r="E18">
        <f>IF(C18="", "", VLOOKUP(C18,Table1[],3,FALSE))</f>
        <v>154789</v>
      </c>
      <c r="H18" s="1">
        <f>IF(C18="", "",VLOOKUP(C18,Table1[],2,FALSE))</f>
        <v>431.99</v>
      </c>
      <c r="I18" s="1">
        <f t="shared" si="0"/>
        <v>431.99</v>
      </c>
      <c r="K18" s="13"/>
      <c r="M18" s="13"/>
      <c r="N18" s="13"/>
      <c r="O18" s="13"/>
      <c r="P18" s="13"/>
      <c r="Q18" s="13"/>
      <c r="R18" s="13"/>
      <c r="S18" s="13"/>
      <c r="T18" s="13"/>
      <c r="U18" s="13"/>
    </row>
    <row r="19" spans="1:21" ht="30" customHeight="1" x14ac:dyDescent="0.25">
      <c r="D19" s="13"/>
      <c r="E19" t="str">
        <f>IF(C19="", "", VLOOKUP(C19,Table1[],3,FALSE))</f>
        <v/>
      </c>
      <c r="H19" s="1" t="str">
        <f>IF(C19="", "",VLOOKUP(C19,Table1[],2,FALSE))</f>
        <v/>
      </c>
      <c r="I19" s="1" t="str">
        <f t="shared" si="0"/>
        <v/>
      </c>
      <c r="K19" s="13"/>
    </row>
    <row r="20" spans="1:21" ht="30" customHeight="1" x14ac:dyDescent="0.25">
      <c r="D20" s="13"/>
      <c r="E20" t="str">
        <f>IF(C20="", "", VLOOKUP(C20,Table1[],3,FALSE))</f>
        <v/>
      </c>
      <c r="H20" s="1" t="str">
        <f>IF(C20="", "",VLOOKUP(C20,Table1[],2,FALSE))</f>
        <v/>
      </c>
      <c r="I20" s="1" t="str">
        <f t="shared" si="0"/>
        <v/>
      </c>
      <c r="K20" s="13"/>
    </row>
    <row r="21" spans="1:21" ht="30" customHeight="1" x14ac:dyDescent="0.25">
      <c r="D21" s="13"/>
      <c r="E21" t="str">
        <f>IF(C21="", "", VLOOKUP(C21,Table1[],3,FALSE))</f>
        <v/>
      </c>
      <c r="H21" s="1" t="str">
        <f>IF(C21="", "",VLOOKUP(C21,Table1[],2,FALSE))</f>
        <v/>
      </c>
      <c r="I21" s="1" t="str">
        <f t="shared" si="0"/>
        <v/>
      </c>
      <c r="K21" s="15"/>
      <c r="L21" s="7"/>
      <c r="M21" s="8"/>
    </row>
    <row r="22" spans="1:21" ht="30" customHeight="1" x14ac:dyDescent="0.25">
      <c r="D22" s="13"/>
      <c r="E22" t="str">
        <f>IF(C22="", "", VLOOKUP(C22,Table1[],3,FALSE))</f>
        <v/>
      </c>
      <c r="H22" s="1" t="str">
        <f>IF(C22="", "",VLOOKUP(C22,Table1[],2,FALSE))</f>
        <v/>
      </c>
      <c r="I22" s="1" t="str">
        <f t="shared" si="0"/>
        <v/>
      </c>
      <c r="K22" s="13"/>
      <c r="L22" s="1"/>
      <c r="M22" s="5"/>
    </row>
    <row r="23" spans="1:21" ht="30" customHeight="1" x14ac:dyDescent="0.25">
      <c r="D23" s="13"/>
      <c r="E23" t="str">
        <f>IF(C23="", "", VLOOKUP(C23,Table1[],3,FALSE))</f>
        <v/>
      </c>
      <c r="H23" s="1" t="str">
        <f>IF(C23="", "",VLOOKUP(C23,Table1[],2,FALSE))</f>
        <v/>
      </c>
      <c r="I23" s="1" t="str">
        <f t="shared" si="0"/>
        <v/>
      </c>
      <c r="K23" s="13"/>
      <c r="L23" s="1"/>
      <c r="M23" s="5"/>
    </row>
    <row r="24" spans="1:21" ht="30" customHeight="1" x14ac:dyDescent="0.25">
      <c r="D24" s="13"/>
      <c r="E24" t="str">
        <f>IF(C24="", "", VLOOKUP(C24,Table1[],3,FALSE))</f>
        <v/>
      </c>
      <c r="H24" s="1" t="str">
        <f>IF(C24="", "",VLOOKUP(C24,Table1[],2,FALSE))</f>
        <v/>
      </c>
      <c r="I24" s="1" t="str">
        <f t="shared" si="0"/>
        <v/>
      </c>
      <c r="K24" s="13"/>
      <c r="L24" s="1"/>
      <c r="M24" s="5"/>
    </row>
    <row r="25" spans="1:21" ht="30" customHeight="1" x14ac:dyDescent="0.25">
      <c r="D25" s="13"/>
      <c r="E25" t="str">
        <f>IF(C25="", "", VLOOKUP(C25,Table1[],3,FALSE))</f>
        <v/>
      </c>
      <c r="H25" s="1" t="str">
        <f>IF(C25="", "",VLOOKUP(C25,Table1[],2,FALSE))</f>
        <v/>
      </c>
      <c r="I25" s="1" t="str">
        <f t="shared" si="0"/>
        <v/>
      </c>
      <c r="K25" s="13"/>
      <c r="L25" s="1"/>
      <c r="M25" s="5"/>
    </row>
    <row r="26" spans="1:21" ht="30" customHeight="1" x14ac:dyDescent="0.25">
      <c r="D26" s="13"/>
      <c r="E26" t="str">
        <f>IF(C26="", "", VLOOKUP(C26,Table1[],3,FALSE))</f>
        <v/>
      </c>
      <c r="H26" s="1" t="str">
        <f>IF(C26="", "",VLOOKUP(C26,Table1[],2,FALSE))</f>
        <v/>
      </c>
      <c r="I26" s="1" t="str">
        <f t="shared" si="0"/>
        <v/>
      </c>
      <c r="K26" s="13"/>
      <c r="L26" s="1"/>
      <c r="M26" s="5"/>
    </row>
    <row r="27" spans="1:21" ht="30" customHeight="1" x14ac:dyDescent="0.25">
      <c r="D27" s="13"/>
      <c r="E27" t="str">
        <f>IF(C27="", "", VLOOKUP(C27,Table1[],3,FALSE))</f>
        <v/>
      </c>
      <c r="H27" s="1" t="str">
        <f>IF(C27="", "",VLOOKUP(C27,Table1[],2,FALSE))</f>
        <v/>
      </c>
      <c r="I27" s="1" t="str">
        <f t="shared" si="0"/>
        <v/>
      </c>
      <c r="K27" s="13"/>
      <c r="L27" s="16"/>
      <c r="M27" s="17"/>
      <c r="N27" s="9"/>
      <c r="O27" s="9"/>
      <c r="P27" s="9"/>
    </row>
    <row r="28" spans="1:21" x14ac:dyDescent="0.25">
      <c r="I28" s="1">
        <f>SUM(I16:I27)</f>
        <v>532.45000000000005</v>
      </c>
      <c r="J28" s="21" t="s">
        <v>87</v>
      </c>
      <c r="K28" s="13"/>
      <c r="L28" s="16"/>
      <c r="M28" s="17"/>
      <c r="N28" s="9"/>
      <c r="O28" s="9"/>
      <c r="P28" s="9"/>
    </row>
    <row r="29" spans="1:21" x14ac:dyDescent="0.25">
      <c r="A29" s="13"/>
      <c r="B29" s="13"/>
      <c r="C29" s="13"/>
      <c r="D29" s="13"/>
      <c r="E29" s="13"/>
      <c r="F29" s="13"/>
      <c r="G29" s="13"/>
      <c r="H29" s="13"/>
      <c r="I29" s="14"/>
      <c r="J29" s="13"/>
      <c r="K29" s="13"/>
      <c r="L29" s="16"/>
      <c r="M29" s="17"/>
      <c r="N29" s="9"/>
      <c r="O29" s="9"/>
      <c r="P29" s="9"/>
    </row>
    <row r="30" spans="1:21" x14ac:dyDescent="0.25"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6"/>
      <c r="M30" s="17"/>
      <c r="N30" s="9"/>
      <c r="O30" s="9"/>
      <c r="P30" s="9"/>
    </row>
    <row r="31" spans="1:21" x14ac:dyDescent="0.25"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6"/>
      <c r="M31" s="17"/>
      <c r="N31" s="9"/>
      <c r="O31" s="9"/>
      <c r="P31" s="9"/>
    </row>
    <row r="32" spans="1:21" x14ac:dyDescent="0.25">
      <c r="L32" s="16"/>
      <c r="M32" s="17"/>
      <c r="N32" s="9"/>
      <c r="O32" s="9"/>
      <c r="P32" s="9"/>
    </row>
    <row r="33" spans="12:13" x14ac:dyDescent="0.25">
      <c r="L33" s="1"/>
      <c r="M33" s="5"/>
    </row>
  </sheetData>
  <dataValidations count="3">
    <dataValidation type="whole" operator="greaterThan" allowBlank="1" showInputMessage="1" showErrorMessage="1" sqref="B16:B27" xr:uid="{96C68FFF-ABD8-4D44-8694-E884103247FC}">
      <formula1>0</formula1>
    </dataValidation>
    <dataValidation type="list" allowBlank="1" showInputMessage="1" showErrorMessage="1" sqref="C3" xr:uid="{ED1620B3-F8DB-4591-9463-0BDEF53F841E}">
      <formula1>OFFSET(INDIRECT("Klantgegevens!B2"),0,0,COUNTIF(INDIRECT("Klantgegevens!B2:B50"), "&lt;&gt;"))</formula1>
    </dataValidation>
    <dataValidation type="list" allowBlank="1" showInputMessage="1" showErrorMessage="1" sqref="C12" xr:uid="{4B8C27D6-8738-41EC-BFC8-D70E827976D6}">
      <formula1>$Y$3:$Y$5</formula1>
    </dataValidation>
  </dataValidations>
  <pageMargins left="0.7" right="0.7" top="0.75" bottom="0.75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Button 46">
              <controlPr defaultSize="0" print="0" autoFill="0" autoPict="0" macro="[0]!Finish_Invoice">
                <anchor moveWithCells="1" sizeWithCells="1">
                  <from>
                    <xdr:col>13</xdr:col>
                    <xdr:colOff>19050</xdr:colOff>
                    <xdr:row>1</xdr:row>
                    <xdr:rowOff>123825</xdr:rowOff>
                  </from>
                  <to>
                    <xdr:col>16</xdr:col>
                    <xdr:colOff>19050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" name="Button 47">
              <controlPr defaultSize="0" print="0" autoFill="0" autoPict="0" macro="[0]!Delete_Invoice">
                <anchor>
                  <from>
                    <xdr:col>16</xdr:col>
                    <xdr:colOff>314325</xdr:colOff>
                    <xdr:row>1</xdr:row>
                    <xdr:rowOff>123825</xdr:rowOff>
                  </from>
                  <to>
                    <xdr:col>19</xdr:col>
                    <xdr:colOff>228600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6" name="Button 48">
              <controlPr defaultSize="0" print="0" autoFill="0" autoPict="0" macro="[0]!goto_Knoppen">
                <anchor moveWithCells="1" sizeWithCells="1">
                  <from>
                    <xdr:col>13</xdr:col>
                    <xdr:colOff>9525</xdr:colOff>
                    <xdr:row>6</xdr:row>
                    <xdr:rowOff>133350</xdr:rowOff>
                  </from>
                  <to>
                    <xdr:col>16</xdr:col>
                    <xdr:colOff>9525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DEF6E7-A66D-4E65-9B21-A4DD8A3BD97F}">
          <x14:formula1>
            <xm:f>Producten!$B$3:$B$15</xm:f>
          </x14:formula1>
          <xm:sqref>C16:C27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91147-5C9A-490B-9478-1E8AD4EB3B30}">
  <sheetPr codeName="Sheet3">
    <pageSetUpPr fitToPage="1"/>
  </sheetPr>
  <dimension ref="A1:AA81"/>
  <sheetViews>
    <sheetView topLeftCell="A31" zoomScale="70" zoomScaleNormal="70" workbookViewId="0">
      <selection activeCell="R48" sqref="R48"/>
    </sheetView>
  </sheetViews>
  <sheetFormatPr defaultRowHeight="15" x14ac:dyDescent="0.25"/>
  <cols>
    <col min="8" max="8" width="13.5703125" customWidth="1"/>
    <col min="9" max="9" width="14.85546875" customWidth="1"/>
    <col min="10" max="10" width="11.28515625" customWidth="1"/>
    <col min="11" max="11" width="6.5703125" customWidth="1"/>
    <col min="12" max="12" width="6.28515625" customWidth="1"/>
    <col min="13" max="13" width="18.140625" customWidth="1"/>
    <col min="14" max="14" width="2.7109375" customWidth="1"/>
    <col min="15" max="15" width="3.28515625" customWidth="1"/>
  </cols>
  <sheetData>
    <row r="1" spans="1:27" ht="15.75" x14ac:dyDescent="0.25">
      <c r="A1" s="18"/>
      <c r="B1" s="18"/>
      <c r="C1" s="18"/>
      <c r="D1" s="18"/>
      <c r="E1" s="18"/>
      <c r="F1" s="18"/>
      <c r="G1" s="18"/>
      <c r="H1" s="18"/>
      <c r="I1" s="18"/>
      <c r="J1" s="51"/>
      <c r="K1" s="51"/>
      <c r="L1" s="18"/>
      <c r="M1" s="18"/>
      <c r="N1" s="12"/>
      <c r="O1" s="12"/>
      <c r="P1" s="13"/>
      <c r="Q1" s="39"/>
      <c r="S1" s="13"/>
      <c r="T1" s="13"/>
      <c r="U1" s="13"/>
      <c r="V1" s="13"/>
      <c r="W1" s="13"/>
      <c r="X1" s="13"/>
      <c r="Y1" s="13"/>
      <c r="Z1" s="13"/>
      <c r="AA1" s="13"/>
    </row>
    <row r="2" spans="1:27" ht="15.75" x14ac:dyDescent="0.25">
      <c r="A2" s="18"/>
      <c r="B2" s="18"/>
      <c r="C2" s="18"/>
      <c r="D2" s="18"/>
      <c r="E2" s="18"/>
      <c r="F2" s="18"/>
      <c r="G2" s="18"/>
      <c r="H2" s="18"/>
      <c r="I2" s="18"/>
      <c r="J2" s="51"/>
      <c r="K2" s="51"/>
      <c r="L2" s="18"/>
      <c r="M2" s="18"/>
      <c r="N2" s="12"/>
      <c r="O2" s="12"/>
      <c r="P2" s="13"/>
      <c r="Q2" s="39"/>
      <c r="S2" s="13"/>
      <c r="T2" s="13"/>
      <c r="U2" s="13"/>
      <c r="V2" s="13"/>
      <c r="W2" s="13"/>
      <c r="X2" s="13"/>
      <c r="Y2" s="13"/>
      <c r="Z2" s="13"/>
      <c r="AA2" s="13"/>
    </row>
    <row r="3" spans="1:27" ht="15.75" x14ac:dyDescent="0.25">
      <c r="A3" s="18"/>
      <c r="B3" s="18"/>
      <c r="C3" s="18"/>
      <c r="D3" s="18"/>
      <c r="E3" s="18"/>
      <c r="F3" s="18"/>
      <c r="G3" s="18"/>
      <c r="H3" s="18"/>
      <c r="I3" s="18"/>
      <c r="J3" s="51"/>
      <c r="K3" s="51"/>
      <c r="L3" s="18"/>
      <c r="M3" s="18"/>
      <c r="N3" s="12"/>
      <c r="O3" s="12"/>
      <c r="P3" s="13"/>
      <c r="Q3" s="39"/>
      <c r="S3" s="13"/>
      <c r="T3" s="13"/>
      <c r="U3" s="13"/>
      <c r="V3" s="13"/>
      <c r="W3" s="13"/>
      <c r="X3" s="13"/>
      <c r="Y3" s="13"/>
      <c r="Z3" s="13"/>
      <c r="AA3" s="13"/>
    </row>
    <row r="4" spans="1:27" ht="15.75" x14ac:dyDescent="0.25">
      <c r="A4" s="18"/>
      <c r="B4" s="18"/>
      <c r="C4" s="18"/>
      <c r="D4" s="18"/>
      <c r="E4" s="18"/>
      <c r="F4" s="18"/>
      <c r="G4" s="18"/>
      <c r="H4" s="18"/>
      <c r="I4" s="18"/>
      <c r="J4" s="51"/>
      <c r="K4" s="51"/>
      <c r="L4" s="18"/>
      <c r="M4" s="18"/>
      <c r="N4" s="12"/>
      <c r="O4" s="12"/>
      <c r="P4" s="13"/>
      <c r="Q4" s="39"/>
      <c r="S4" s="13"/>
      <c r="T4" s="13"/>
      <c r="U4" s="13"/>
      <c r="V4" s="13"/>
      <c r="W4" s="13"/>
      <c r="X4" s="13"/>
      <c r="Y4" s="13"/>
      <c r="Z4" s="13"/>
      <c r="AA4" s="13"/>
    </row>
    <row r="5" spans="1:27" ht="15.75" x14ac:dyDescent="0.25">
      <c r="A5" s="18"/>
      <c r="B5" s="18"/>
      <c r="C5" s="18"/>
      <c r="D5" s="18"/>
      <c r="E5" s="18"/>
      <c r="F5" s="18"/>
      <c r="G5" s="18"/>
      <c r="H5" s="18"/>
      <c r="I5" s="18"/>
      <c r="J5" s="64" t="s">
        <v>49</v>
      </c>
      <c r="K5" s="64"/>
      <c r="L5" s="64"/>
      <c r="M5" s="64"/>
      <c r="N5" s="64"/>
      <c r="O5" s="64"/>
      <c r="P5" s="13"/>
      <c r="Q5" s="39"/>
      <c r="S5" s="13"/>
      <c r="T5" s="13"/>
      <c r="U5" s="13"/>
      <c r="V5" s="13"/>
      <c r="W5" s="13"/>
      <c r="X5" s="13"/>
      <c r="Y5" s="13"/>
      <c r="Z5" s="13"/>
      <c r="AA5" s="13"/>
    </row>
    <row r="6" spans="1:27" ht="15.6" customHeight="1" x14ac:dyDescent="0.25">
      <c r="A6" s="18"/>
      <c r="B6" s="18"/>
      <c r="C6" s="18"/>
      <c r="D6" s="18"/>
      <c r="E6" s="18"/>
      <c r="F6" s="18"/>
      <c r="G6" s="18"/>
      <c r="H6" s="18"/>
      <c r="I6" s="18"/>
      <c r="J6" s="63" t="s">
        <v>48</v>
      </c>
      <c r="K6" s="63"/>
      <c r="L6" s="63"/>
      <c r="M6" s="63"/>
      <c r="N6" s="63"/>
      <c r="O6" s="63"/>
      <c r="P6" s="13"/>
      <c r="Q6" s="39"/>
      <c r="S6" s="13"/>
      <c r="T6" s="13"/>
      <c r="U6" s="13"/>
      <c r="V6" s="13"/>
      <c r="W6" s="13"/>
      <c r="X6" s="13"/>
      <c r="Y6" s="13"/>
      <c r="Z6" s="13"/>
      <c r="AA6" s="13"/>
    </row>
    <row r="7" spans="1:27" ht="15.75" x14ac:dyDescent="0.25">
      <c r="A7" s="18"/>
      <c r="B7" s="18"/>
      <c r="C7" s="18"/>
      <c r="D7" s="18"/>
      <c r="E7" s="18"/>
      <c r="F7" s="18"/>
      <c r="G7" s="18"/>
      <c r="H7" s="18"/>
      <c r="I7" s="18"/>
      <c r="J7" s="67" t="s">
        <v>47</v>
      </c>
      <c r="K7" s="67"/>
      <c r="L7" s="67"/>
      <c r="M7" s="67"/>
      <c r="N7" s="67"/>
      <c r="O7" s="67"/>
      <c r="P7" s="13"/>
      <c r="Q7" s="39"/>
      <c r="S7" s="13"/>
      <c r="T7" s="13"/>
      <c r="U7" s="13"/>
      <c r="V7" s="13"/>
      <c r="W7" s="13"/>
      <c r="X7" s="13"/>
      <c r="Y7" s="13"/>
      <c r="Z7" s="13"/>
      <c r="AA7" s="13"/>
    </row>
    <row r="8" spans="1:27" ht="15.75" x14ac:dyDescent="0.25">
      <c r="A8" s="18"/>
      <c r="B8" s="18"/>
      <c r="C8" s="18"/>
      <c r="D8" s="18"/>
      <c r="E8" s="18"/>
      <c r="F8" s="18"/>
      <c r="G8" s="18"/>
      <c r="H8" s="18"/>
      <c r="I8" s="18"/>
      <c r="J8" s="66" t="s">
        <v>46</v>
      </c>
      <c r="K8" s="66"/>
      <c r="L8" s="66"/>
      <c r="M8" s="66"/>
      <c r="N8" s="66"/>
      <c r="O8" s="66"/>
      <c r="P8" s="13"/>
      <c r="Q8" s="39"/>
      <c r="S8" s="13"/>
      <c r="T8" s="13"/>
      <c r="U8" s="13"/>
      <c r="V8" s="13"/>
      <c r="W8" s="13"/>
      <c r="X8" s="13"/>
      <c r="Y8" s="13"/>
      <c r="Z8" s="13"/>
      <c r="AA8" s="13"/>
    </row>
    <row r="9" spans="1:27" ht="15.75" x14ac:dyDescent="0.25">
      <c r="A9" s="18"/>
      <c r="B9" s="18"/>
      <c r="C9" s="18"/>
      <c r="D9" s="18"/>
      <c r="E9" s="18"/>
      <c r="F9" s="18"/>
      <c r="G9" s="18"/>
      <c r="H9" s="18"/>
      <c r="I9" s="18"/>
      <c r="J9" s="51"/>
      <c r="K9" s="51"/>
      <c r="L9" s="18"/>
      <c r="M9" s="18"/>
      <c r="N9" s="12"/>
      <c r="O9" s="12"/>
      <c r="P9" s="13"/>
      <c r="Q9" s="39"/>
      <c r="S9" s="13"/>
      <c r="T9" s="13"/>
      <c r="U9" s="13"/>
      <c r="V9" s="13"/>
      <c r="W9" s="13"/>
      <c r="X9" s="13"/>
      <c r="Y9" s="13"/>
      <c r="Z9" s="13"/>
      <c r="AA9" s="13"/>
    </row>
    <row r="10" spans="1:27" ht="15.75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51"/>
      <c r="K10" s="51"/>
      <c r="L10" s="18"/>
      <c r="M10" s="18"/>
      <c r="N10" s="12"/>
      <c r="O10" s="12"/>
      <c r="P10" s="13"/>
      <c r="Q10" s="39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.75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51"/>
      <c r="K11" s="51"/>
      <c r="L11" s="18"/>
      <c r="M11" s="18"/>
      <c r="N11" s="12"/>
      <c r="O11" s="12"/>
      <c r="P11" s="13"/>
      <c r="Q11" s="39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.7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51"/>
      <c r="K12" s="51"/>
      <c r="L12" s="18"/>
      <c r="M12" s="18"/>
      <c r="N12" s="12"/>
      <c r="O12" s="12"/>
      <c r="P12" s="13"/>
      <c r="Q12" s="39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5.7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51"/>
      <c r="K13" s="51"/>
      <c r="L13" s="18"/>
      <c r="M13" s="18"/>
      <c r="N13" s="12"/>
      <c r="O13" s="12"/>
      <c r="P13" s="13"/>
      <c r="Q13" s="39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.7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51"/>
      <c r="K14" s="51"/>
      <c r="L14" s="18"/>
      <c r="M14" s="18"/>
      <c r="N14" s="12"/>
      <c r="O14" s="12"/>
      <c r="P14" s="13"/>
      <c r="Q14" s="39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15.75" x14ac:dyDescent="0.25">
      <c r="A15" s="18"/>
      <c r="B15" s="18"/>
      <c r="C15" s="18"/>
      <c r="D15" s="18"/>
      <c r="E15" s="18"/>
      <c r="F15" s="18"/>
      <c r="G15" s="18"/>
      <c r="H15" s="18"/>
      <c r="I15" s="19" t="s">
        <v>59</v>
      </c>
      <c r="J15" s="51" t="str">
        <f>Factuurgegevens!C8</f>
        <v>J.K Janssen</v>
      </c>
      <c r="K15" s="51"/>
      <c r="L15" s="51"/>
      <c r="M15" s="51"/>
      <c r="N15" s="51"/>
      <c r="O15" s="51"/>
      <c r="P15" s="13"/>
      <c r="Q15" s="39"/>
      <c r="S15" s="13"/>
      <c r="T15" s="13"/>
      <c r="U15" s="13"/>
      <c r="V15" s="13"/>
      <c r="W15" s="13"/>
      <c r="X15" s="13"/>
      <c r="Y15" s="13"/>
      <c r="Z15" s="13"/>
      <c r="AA15" s="13"/>
    </row>
    <row r="16" spans="1:27" ht="15.7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51" t="str">
        <f ca="1">Factuurgegevens!C9</f>
        <v>Dezestraat 1</v>
      </c>
      <c r="K16" s="51"/>
      <c r="L16" s="51"/>
      <c r="M16" s="51"/>
      <c r="N16" s="51"/>
      <c r="O16" s="51"/>
      <c r="P16" s="13"/>
      <c r="Q16" s="39"/>
      <c r="S16" s="13"/>
      <c r="T16" s="13"/>
      <c r="U16" s="13"/>
      <c r="V16" s="13"/>
      <c r="W16" s="13"/>
      <c r="X16" s="13"/>
      <c r="Y16" s="13"/>
      <c r="Z16" s="13"/>
      <c r="AA16" s="13"/>
    </row>
    <row r="17" spans="1:27" ht="15.7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51" t="str">
        <f ca="1">Factuurgegevens!C10</f>
        <v>5552DN</v>
      </c>
      <c r="K17" s="51"/>
      <c r="L17" s="51"/>
      <c r="M17" s="51"/>
      <c r="N17" s="51"/>
      <c r="O17" s="51"/>
      <c r="P17" s="13"/>
      <c r="Q17" s="39"/>
      <c r="S17" s="13"/>
      <c r="T17" s="13"/>
      <c r="U17" s="13"/>
      <c r="V17" s="13"/>
      <c r="W17" s="13"/>
      <c r="X17" s="13"/>
      <c r="Y17" s="13"/>
      <c r="Z17" s="13"/>
      <c r="AA17" s="13"/>
    </row>
    <row r="18" spans="1:27" ht="15.7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51" t="str">
        <f ca="1">Factuurgegevens!C11</f>
        <v>Amsterdam</v>
      </c>
      <c r="K18" s="51"/>
      <c r="L18" s="51"/>
      <c r="M18" s="51"/>
      <c r="N18" s="51"/>
      <c r="O18" s="51"/>
      <c r="P18" s="13"/>
      <c r="Q18" s="39"/>
      <c r="S18" s="13"/>
      <c r="T18" s="13"/>
      <c r="U18" s="13"/>
      <c r="V18" s="13"/>
      <c r="W18" s="13"/>
      <c r="X18" s="13"/>
      <c r="Y18" s="13"/>
      <c r="Z18" s="13"/>
      <c r="AA18" s="13"/>
    </row>
    <row r="19" spans="1:27" ht="15.7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51"/>
      <c r="K19" s="51"/>
      <c r="L19" s="18"/>
      <c r="M19" s="18"/>
      <c r="N19" s="12"/>
      <c r="O19" s="12"/>
      <c r="P19" s="13"/>
      <c r="Q19" s="39"/>
      <c r="S19" s="13"/>
      <c r="T19" s="13"/>
      <c r="U19" s="13"/>
      <c r="V19" s="13"/>
      <c r="W19" s="13"/>
      <c r="X19" s="13"/>
      <c r="Y19" s="13"/>
      <c r="Z19" s="13"/>
      <c r="AA19" s="13"/>
    </row>
    <row r="20" spans="1:27" ht="15.7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51"/>
      <c r="K20" s="51"/>
      <c r="L20" s="18"/>
      <c r="M20" s="18"/>
      <c r="N20" s="12"/>
      <c r="O20" s="12"/>
      <c r="P20" s="13"/>
      <c r="Q20" s="39"/>
      <c r="S20" s="13"/>
      <c r="T20" s="13"/>
      <c r="U20" s="13"/>
      <c r="V20" s="13"/>
      <c r="W20" s="13"/>
      <c r="X20" s="13"/>
      <c r="Y20" s="13"/>
      <c r="Z20" s="13"/>
      <c r="AA20" s="13"/>
    </row>
    <row r="21" spans="1:27" ht="15.7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51"/>
      <c r="K21" s="51"/>
      <c r="L21" s="18"/>
      <c r="M21" s="18"/>
      <c r="N21" s="12"/>
      <c r="O21" s="12"/>
      <c r="P21" s="13"/>
      <c r="Q21" s="39"/>
      <c r="S21" s="13"/>
      <c r="T21" s="13"/>
      <c r="U21" s="13"/>
      <c r="V21" s="13"/>
      <c r="W21" s="13"/>
      <c r="X21" s="13"/>
      <c r="Y21" s="13"/>
      <c r="Z21" s="13"/>
      <c r="AA21" s="13"/>
    </row>
    <row r="22" spans="1:27" ht="30" customHeight="1" x14ac:dyDescent="0.25">
      <c r="A22" s="53" t="s">
        <v>50</v>
      </c>
      <c r="B22" s="53"/>
      <c r="C22" s="53"/>
      <c r="D22" s="53"/>
      <c r="E22" s="53"/>
      <c r="F22" s="53"/>
      <c r="G22" s="53"/>
      <c r="H22" s="53"/>
      <c r="I22" s="18"/>
      <c r="J22" s="51"/>
      <c r="K22" s="51"/>
      <c r="L22" s="18"/>
      <c r="M22" s="18"/>
      <c r="N22" s="12"/>
      <c r="O22" s="12"/>
      <c r="P22" s="13"/>
      <c r="Q22" s="39"/>
      <c r="S22" s="13"/>
      <c r="T22" s="13"/>
      <c r="U22" s="13"/>
      <c r="V22" s="13"/>
      <c r="W22" s="13"/>
      <c r="X22" s="13"/>
      <c r="Y22" s="13"/>
      <c r="Z22" s="13"/>
      <c r="AA22" s="13"/>
    </row>
    <row r="23" spans="1:27" ht="30" customHeight="1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51"/>
      <c r="K23" s="51"/>
      <c r="L23" s="18"/>
      <c r="M23" s="18"/>
      <c r="N23" s="12"/>
      <c r="O23" s="12"/>
      <c r="P23" s="13"/>
      <c r="Q23" s="39"/>
      <c r="S23" s="13"/>
      <c r="T23" s="13"/>
      <c r="U23" s="13"/>
      <c r="V23" s="13"/>
      <c r="W23" s="13"/>
      <c r="X23" s="13"/>
      <c r="Y23" s="13"/>
      <c r="Z23" s="13"/>
      <c r="AA23" s="13"/>
    </row>
    <row r="24" spans="1:27" ht="30" customHeight="1" x14ac:dyDescent="0.25">
      <c r="A24" s="65" t="s">
        <v>51</v>
      </c>
      <c r="B24" s="65"/>
      <c r="C24" s="62" t="s">
        <v>52</v>
      </c>
      <c r="D24" s="62"/>
      <c r="E24" s="62"/>
      <c r="F24" s="62"/>
      <c r="G24" s="55" t="s">
        <v>58</v>
      </c>
      <c r="H24" s="55"/>
      <c r="I24" s="55"/>
      <c r="J24" s="55" t="s">
        <v>53</v>
      </c>
      <c r="K24" s="55"/>
      <c r="L24" s="55" t="s">
        <v>54</v>
      </c>
      <c r="M24" s="55"/>
      <c r="N24" s="20"/>
      <c r="O24" s="12"/>
      <c r="P24" s="13"/>
      <c r="Q24" s="39"/>
    </row>
    <row r="25" spans="1:27" ht="30" customHeight="1" x14ac:dyDescent="0.25">
      <c r="A25" s="61">
        <f>IF(Factuurgegevens!B16 ="", "",Factuurgegevens!B16)</f>
        <v>2</v>
      </c>
      <c r="B25" s="61"/>
      <c r="C25" s="56" t="str">
        <f>IF(Factuurgegevens!C16 ="", "",Factuurgegevens!C16)</f>
        <v>Internetkabel 5m</v>
      </c>
      <c r="D25" s="56"/>
      <c r="E25" s="56"/>
      <c r="F25" s="56"/>
      <c r="G25" s="56">
        <f>Factuurgegevens!E16</f>
        <v>542369</v>
      </c>
      <c r="H25" s="56"/>
      <c r="I25" s="56"/>
      <c r="J25" s="50">
        <f>Factuurgegevens!H16</f>
        <v>6.98</v>
      </c>
      <c r="K25" s="50"/>
      <c r="L25" s="50">
        <f>Factuurgegevens!I16</f>
        <v>13.96</v>
      </c>
      <c r="M25" s="50"/>
      <c r="N25" s="50"/>
      <c r="O25" s="12"/>
      <c r="P25" s="13"/>
      <c r="Q25" s="39"/>
      <c r="W25" s="1" t="str">
        <f>IF(R25="", "",VLOOKUP(R25,Table1[],2,FALSE))</f>
        <v/>
      </c>
      <c r="X25" s="1" t="str">
        <f>IF(R25="", "", W25*Q25)</f>
        <v/>
      </c>
    </row>
    <row r="26" spans="1:27" ht="30" customHeight="1" x14ac:dyDescent="0.25">
      <c r="A26" s="61">
        <f>IF(Factuurgegevens!B17 ="", "",Factuurgegevens!B17)</f>
        <v>1</v>
      </c>
      <c r="B26" s="61"/>
      <c r="C26" s="56" t="str">
        <f>IF(Factuurgegevens!C17 ="", "",Factuurgegevens!C17)</f>
        <v>Modem</v>
      </c>
      <c r="D26" s="56"/>
      <c r="E26" s="56"/>
      <c r="F26" s="56"/>
      <c r="G26" s="56">
        <f>Factuurgegevens!E17</f>
        <v>959947</v>
      </c>
      <c r="H26" s="56"/>
      <c r="I26" s="56"/>
      <c r="J26" s="50">
        <f>Factuurgegevens!H17</f>
        <v>86.5</v>
      </c>
      <c r="K26" s="50"/>
      <c r="L26" s="50">
        <f>Factuurgegevens!I17</f>
        <v>86.5</v>
      </c>
      <c r="M26" s="50"/>
      <c r="N26" s="50"/>
      <c r="O26" s="12"/>
      <c r="P26" s="13"/>
      <c r="Q26" s="39"/>
    </row>
    <row r="27" spans="1:27" ht="30" customHeight="1" x14ac:dyDescent="0.25">
      <c r="A27" s="61">
        <f>IF(Factuurgegevens!B18 ="", "",Factuurgegevens!B18)</f>
        <v>1</v>
      </c>
      <c r="B27" s="61"/>
      <c r="C27" s="56" t="str">
        <f>IF(Factuurgegevens!C18 ="", "",Factuurgegevens!C18)</f>
        <v>Beveiligingscamera set</v>
      </c>
      <c r="D27" s="56"/>
      <c r="E27" s="56"/>
      <c r="F27" s="56"/>
      <c r="G27" s="56">
        <f>Factuurgegevens!E18</f>
        <v>154789</v>
      </c>
      <c r="H27" s="56"/>
      <c r="I27" s="56"/>
      <c r="J27" s="50">
        <f>Factuurgegevens!H18</f>
        <v>431.99</v>
      </c>
      <c r="K27" s="50"/>
      <c r="L27" s="50">
        <f>Factuurgegevens!I18</f>
        <v>431.99</v>
      </c>
      <c r="M27" s="50"/>
      <c r="N27" s="50"/>
      <c r="O27" s="12"/>
      <c r="P27" s="13"/>
      <c r="Q27" s="39"/>
    </row>
    <row r="28" spans="1:27" ht="30" customHeight="1" x14ac:dyDescent="0.25">
      <c r="A28" s="61" t="str">
        <f>IF(Factuurgegevens!B19 ="", "",Factuurgegevens!B19)</f>
        <v/>
      </c>
      <c r="B28" s="61"/>
      <c r="C28" s="56" t="str">
        <f>IF(Factuurgegevens!C19 ="", "",Factuurgegevens!C19)</f>
        <v/>
      </c>
      <c r="D28" s="56"/>
      <c r="E28" s="56"/>
      <c r="F28" s="56"/>
      <c r="G28" s="56" t="str">
        <f>Factuurgegevens!E19</f>
        <v/>
      </c>
      <c r="H28" s="56"/>
      <c r="I28" s="56"/>
      <c r="J28" s="50" t="str">
        <f>Factuurgegevens!H19</f>
        <v/>
      </c>
      <c r="K28" s="50"/>
      <c r="L28" s="50" t="str">
        <f>Factuurgegevens!I19</f>
        <v/>
      </c>
      <c r="M28" s="50"/>
      <c r="N28" s="50"/>
      <c r="O28" s="12"/>
      <c r="P28" s="13"/>
      <c r="Q28" s="39"/>
    </row>
    <row r="29" spans="1:27" ht="30" customHeight="1" x14ac:dyDescent="0.25">
      <c r="A29" s="61" t="str">
        <f>IF(Factuurgegevens!B20 ="", "",Factuurgegevens!B20)</f>
        <v/>
      </c>
      <c r="B29" s="61"/>
      <c r="C29" s="56" t="str">
        <f>IF(Factuurgegevens!C20 ="", "",Factuurgegevens!C20)</f>
        <v/>
      </c>
      <c r="D29" s="56"/>
      <c r="E29" s="56"/>
      <c r="F29" s="56"/>
      <c r="G29" s="56" t="str">
        <f>Factuurgegevens!E20</f>
        <v/>
      </c>
      <c r="H29" s="56"/>
      <c r="I29" s="56"/>
      <c r="J29" s="54" t="str">
        <f>Factuurgegevens!H20</f>
        <v/>
      </c>
      <c r="K29" s="54"/>
      <c r="L29" s="54" t="str">
        <f>Factuurgegevens!I20</f>
        <v/>
      </c>
      <c r="M29" s="54"/>
      <c r="N29" s="54"/>
      <c r="O29" s="12"/>
      <c r="P29" s="13"/>
      <c r="Q29" s="39"/>
    </row>
    <row r="30" spans="1:27" ht="30" customHeight="1" x14ac:dyDescent="0.25">
      <c r="A30" s="61" t="str">
        <f>IF(Factuurgegevens!B21 ="", "",Factuurgegevens!B21)</f>
        <v/>
      </c>
      <c r="B30" s="61"/>
      <c r="C30" s="56" t="str">
        <f>IF(Factuurgegevens!C21 ="", "",Factuurgegevens!C21)</f>
        <v/>
      </c>
      <c r="D30" s="56"/>
      <c r="E30" s="56"/>
      <c r="F30" s="56"/>
      <c r="G30" s="56" t="str">
        <f>Factuurgegevens!E21</f>
        <v/>
      </c>
      <c r="H30" s="56"/>
      <c r="I30" s="56"/>
      <c r="J30" s="54" t="str">
        <f>Factuurgegevens!H21</f>
        <v/>
      </c>
      <c r="K30" s="54"/>
      <c r="L30" s="54" t="str">
        <f>Factuurgegevens!I21</f>
        <v/>
      </c>
      <c r="M30" s="54"/>
      <c r="N30" s="54"/>
      <c r="O30" s="12"/>
      <c r="P30" s="13"/>
      <c r="Q30" s="39"/>
    </row>
    <row r="31" spans="1:27" ht="30" customHeight="1" x14ac:dyDescent="0.25">
      <c r="A31" s="61" t="str">
        <f>IF(Factuurgegevens!B22 ="", "",Factuurgegevens!B22)</f>
        <v/>
      </c>
      <c r="B31" s="61"/>
      <c r="C31" s="56" t="str">
        <f>IF(Factuurgegevens!C22 ="", "",Factuurgegevens!C22)</f>
        <v/>
      </c>
      <c r="D31" s="56"/>
      <c r="E31" s="56"/>
      <c r="F31" s="56"/>
      <c r="G31" s="56" t="str">
        <f>Factuurgegevens!E22</f>
        <v/>
      </c>
      <c r="H31" s="56"/>
      <c r="I31" s="56"/>
      <c r="J31" s="54" t="str">
        <f>Factuurgegevens!H22</f>
        <v/>
      </c>
      <c r="K31" s="54"/>
      <c r="L31" s="54" t="str">
        <f>Factuurgegevens!I22</f>
        <v/>
      </c>
      <c r="M31" s="54"/>
      <c r="N31" s="54"/>
      <c r="O31" s="12"/>
      <c r="P31" s="13"/>
      <c r="Q31" s="39"/>
    </row>
    <row r="32" spans="1:27" ht="30" customHeight="1" x14ac:dyDescent="0.25">
      <c r="A32" s="61" t="str">
        <f>IF(Factuurgegevens!B23 ="", "",Factuurgegevens!B23)</f>
        <v/>
      </c>
      <c r="B32" s="61"/>
      <c r="C32" s="56" t="str">
        <f>IF(Factuurgegevens!C23 ="", "",Factuurgegevens!C23)</f>
        <v/>
      </c>
      <c r="D32" s="56"/>
      <c r="E32" s="56"/>
      <c r="F32" s="56"/>
      <c r="G32" s="56" t="str">
        <f>Factuurgegevens!E23</f>
        <v/>
      </c>
      <c r="H32" s="56"/>
      <c r="I32" s="56"/>
      <c r="J32" s="54" t="str">
        <f>Factuurgegevens!H23</f>
        <v/>
      </c>
      <c r="K32" s="54"/>
      <c r="L32" s="54" t="str">
        <f>Factuurgegevens!I23</f>
        <v/>
      </c>
      <c r="M32" s="54"/>
      <c r="N32" s="54"/>
      <c r="O32" s="12"/>
      <c r="P32" s="13"/>
      <c r="Q32" s="39"/>
    </row>
    <row r="33" spans="1:17" ht="30" customHeight="1" x14ac:dyDescent="0.25">
      <c r="A33" s="61" t="str">
        <f>IF(Factuurgegevens!B24 ="", "",Factuurgegevens!B24)</f>
        <v/>
      </c>
      <c r="B33" s="61"/>
      <c r="C33" s="56" t="str">
        <f>IF(Factuurgegevens!C24 ="", "",Factuurgegevens!C24)</f>
        <v/>
      </c>
      <c r="D33" s="56"/>
      <c r="E33" s="56"/>
      <c r="F33" s="56"/>
      <c r="G33" s="56" t="str">
        <f>Factuurgegevens!E24</f>
        <v/>
      </c>
      <c r="H33" s="56"/>
      <c r="I33" s="56"/>
      <c r="J33" s="54" t="str">
        <f>Factuurgegevens!H24</f>
        <v/>
      </c>
      <c r="K33" s="54"/>
      <c r="L33" s="54" t="str">
        <f>Factuurgegevens!I24</f>
        <v/>
      </c>
      <c r="M33" s="54"/>
      <c r="N33" s="54"/>
      <c r="O33" s="12"/>
      <c r="P33" s="13"/>
      <c r="Q33" s="39"/>
    </row>
    <row r="34" spans="1:17" ht="30" customHeight="1" x14ac:dyDescent="0.25">
      <c r="A34" s="61" t="str">
        <f>IF(Factuurgegevens!B25 ="", "",Factuurgegevens!B25)</f>
        <v/>
      </c>
      <c r="B34" s="61"/>
      <c r="C34" s="56" t="str">
        <f>IF(Factuurgegevens!C25 ="", "",Factuurgegevens!C25)</f>
        <v/>
      </c>
      <c r="D34" s="56"/>
      <c r="E34" s="56"/>
      <c r="F34" s="56"/>
      <c r="G34" s="56" t="str">
        <f>Factuurgegevens!E25</f>
        <v/>
      </c>
      <c r="H34" s="56"/>
      <c r="I34" s="56"/>
      <c r="J34" s="54" t="str">
        <f>Factuurgegevens!H25</f>
        <v/>
      </c>
      <c r="K34" s="54"/>
      <c r="L34" s="54" t="str">
        <f>Factuurgegevens!I25</f>
        <v/>
      </c>
      <c r="M34" s="54"/>
      <c r="N34" s="54"/>
      <c r="O34" s="12"/>
      <c r="P34" s="13"/>
      <c r="Q34" s="39"/>
    </row>
    <row r="35" spans="1:17" ht="30" customHeight="1" x14ac:dyDescent="0.25">
      <c r="A35" s="61" t="str">
        <f>IF(Factuurgegevens!B26 ="", "",Factuurgegevens!B26)</f>
        <v/>
      </c>
      <c r="B35" s="61"/>
      <c r="C35" s="56" t="str">
        <f>IF(Factuurgegevens!C26 ="", "",Factuurgegevens!C26)</f>
        <v/>
      </c>
      <c r="D35" s="56"/>
      <c r="E35" s="56"/>
      <c r="F35" s="56"/>
      <c r="G35" s="56" t="str">
        <f>Factuurgegevens!E26</f>
        <v/>
      </c>
      <c r="H35" s="56"/>
      <c r="I35" s="56"/>
      <c r="J35" s="54" t="str">
        <f>Factuurgegevens!H26</f>
        <v/>
      </c>
      <c r="K35" s="54"/>
      <c r="L35" s="54" t="str">
        <f>Factuurgegevens!I26</f>
        <v/>
      </c>
      <c r="M35" s="54"/>
      <c r="N35" s="54"/>
      <c r="O35" s="12"/>
      <c r="P35" s="13"/>
      <c r="Q35" s="39"/>
    </row>
    <row r="36" spans="1:17" ht="30" customHeight="1" x14ac:dyDescent="0.25">
      <c r="A36" s="61" t="str">
        <f>IF(Factuurgegevens!B27 ="", "",Factuurgegevens!B27)</f>
        <v/>
      </c>
      <c r="B36" s="61"/>
      <c r="C36" s="56" t="str">
        <f>IF(Factuurgegevens!C27 ="", "",Factuurgegevens!C27)</f>
        <v/>
      </c>
      <c r="D36" s="56"/>
      <c r="E36" s="56"/>
      <c r="F36" s="56"/>
      <c r="G36" s="56" t="str">
        <f>Factuurgegevens!E27</f>
        <v/>
      </c>
      <c r="H36" s="56"/>
      <c r="I36" s="56"/>
      <c r="J36" s="54" t="str">
        <f>Factuurgegevens!H27</f>
        <v/>
      </c>
      <c r="K36" s="54"/>
      <c r="L36" s="54" t="str">
        <f>Factuurgegevens!I27</f>
        <v/>
      </c>
      <c r="M36" s="54"/>
      <c r="N36" s="54"/>
      <c r="O36" s="12"/>
      <c r="P36" s="13"/>
      <c r="Q36" s="39"/>
    </row>
    <row r="37" spans="1:17" ht="30" customHeight="1" thickBot="1" x14ac:dyDescent="0.3">
      <c r="A37" s="61"/>
      <c r="B37" s="61"/>
      <c r="C37" s="56"/>
      <c r="D37" s="56"/>
      <c r="E37" s="56"/>
      <c r="F37" s="56"/>
      <c r="G37" s="56"/>
      <c r="H37" s="56"/>
      <c r="I37" s="56"/>
      <c r="J37" s="54"/>
      <c r="K37" s="54"/>
      <c r="L37" s="59"/>
      <c r="M37" s="59"/>
      <c r="N37" s="59"/>
      <c r="O37" s="12"/>
      <c r="P37" s="13"/>
      <c r="Q37" s="39"/>
    </row>
    <row r="38" spans="1:17" ht="14.45" customHeight="1" x14ac:dyDescent="0.25">
      <c r="A38" s="56"/>
      <c r="B38" s="56"/>
      <c r="C38" s="56"/>
      <c r="D38" s="56"/>
      <c r="E38" s="56"/>
      <c r="F38" s="56"/>
      <c r="G38" s="56"/>
      <c r="H38" s="56"/>
      <c r="I38" s="56"/>
      <c r="J38" s="54"/>
      <c r="K38" s="54"/>
      <c r="L38" s="60"/>
      <c r="M38" s="60"/>
      <c r="N38" s="60"/>
      <c r="O38" s="12"/>
      <c r="P38" s="13"/>
      <c r="Q38" s="39"/>
    </row>
    <row r="39" spans="1:17" ht="14.45" customHeight="1" x14ac:dyDescent="0.25">
      <c r="A39" s="18"/>
      <c r="B39" s="18"/>
      <c r="C39" s="18"/>
      <c r="D39" s="18"/>
      <c r="E39" s="18"/>
      <c r="F39" s="18"/>
      <c r="G39" s="18"/>
      <c r="H39" s="18"/>
      <c r="I39" s="53" t="s">
        <v>55</v>
      </c>
      <c r="J39" s="53"/>
      <c r="K39" s="53"/>
      <c r="L39" s="53"/>
      <c r="M39" s="57">
        <f>SUM(L25:N37)</f>
        <v>532.45000000000005</v>
      </c>
      <c r="N39" s="57"/>
      <c r="O39" s="12"/>
      <c r="P39" s="13"/>
      <c r="Q39" s="39"/>
    </row>
    <row r="40" spans="1:17" ht="14.45" customHeight="1" x14ac:dyDescent="0.25">
      <c r="A40" s="18"/>
      <c r="B40" s="18"/>
      <c r="C40" s="18"/>
      <c r="D40" s="18"/>
      <c r="E40" s="18"/>
      <c r="F40" s="18"/>
      <c r="G40" s="18"/>
      <c r="H40" s="11"/>
      <c r="I40" s="22">
        <f>Factuurgegevens!C12</f>
        <v>0.21</v>
      </c>
      <c r="J40" s="53" t="s">
        <v>56</v>
      </c>
      <c r="K40" s="53"/>
      <c r="L40" s="53"/>
      <c r="M40" s="57">
        <f>M39*I40</f>
        <v>111.81450000000001</v>
      </c>
      <c r="N40" s="57"/>
      <c r="O40" s="12"/>
      <c r="P40" s="13"/>
      <c r="Q40" s="45"/>
    </row>
    <row r="41" spans="1:17" ht="14.45" customHeight="1" thickBot="1" x14ac:dyDescent="0.3">
      <c r="A41" s="18"/>
      <c r="B41" s="18"/>
      <c r="C41" s="18"/>
      <c r="D41" s="18"/>
      <c r="E41" s="18"/>
      <c r="F41" s="18"/>
      <c r="G41" s="18"/>
      <c r="H41" s="18"/>
      <c r="I41" s="51"/>
      <c r="J41" s="51"/>
      <c r="K41" s="51"/>
      <c r="L41" s="51"/>
      <c r="M41" s="58"/>
      <c r="N41" s="58"/>
      <c r="O41" s="12"/>
      <c r="P41" s="13"/>
      <c r="Q41" s="45"/>
    </row>
    <row r="42" spans="1:17" ht="14.45" customHeight="1" thickTop="1" x14ac:dyDescent="0.25">
      <c r="A42" s="18"/>
      <c r="B42" s="18"/>
      <c r="C42" s="18"/>
      <c r="D42" s="18"/>
      <c r="E42" s="18"/>
      <c r="F42" s="18"/>
      <c r="G42" s="18"/>
      <c r="H42" s="18"/>
      <c r="I42" s="51"/>
      <c r="J42" s="51"/>
      <c r="K42" s="51"/>
      <c r="L42" s="51"/>
      <c r="O42" s="12"/>
      <c r="P42" s="13"/>
      <c r="Q42" s="45"/>
    </row>
    <row r="43" spans="1:17" ht="14.45" customHeight="1" x14ac:dyDescent="0.25">
      <c r="A43" s="10"/>
      <c r="B43" s="10"/>
      <c r="C43" s="10"/>
      <c r="D43" s="10"/>
      <c r="E43" s="10"/>
      <c r="F43" s="10"/>
      <c r="G43" s="10"/>
      <c r="H43" s="10"/>
      <c r="I43" s="53" t="s">
        <v>57</v>
      </c>
      <c r="J43" s="53"/>
      <c r="K43" s="53"/>
      <c r="L43" s="53"/>
      <c r="M43" s="57">
        <f>SUM(M39:N40)</f>
        <v>644.2645</v>
      </c>
      <c r="N43" s="57"/>
      <c r="O43" s="9"/>
      <c r="P43" s="13"/>
      <c r="Q43" s="45"/>
    </row>
    <row r="44" spans="1:17" ht="14.45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9"/>
      <c r="O44" s="9"/>
      <c r="P44" s="13"/>
      <c r="Q44" s="45"/>
    </row>
    <row r="45" spans="1:17" ht="14.4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9"/>
      <c r="O45" s="9"/>
      <c r="P45" s="13"/>
      <c r="Q45" s="45"/>
    </row>
    <row r="46" spans="1:17" ht="14.45" customHeight="1" x14ac:dyDescent="0.25">
      <c r="A46" s="10"/>
      <c r="B46" s="10"/>
      <c r="C46" s="10"/>
      <c r="M46" s="10"/>
      <c r="N46" s="9"/>
      <c r="O46" s="9"/>
      <c r="P46" s="13"/>
      <c r="Q46" s="45"/>
    </row>
    <row r="47" spans="1:17" ht="14.45" customHeight="1" x14ac:dyDescent="0.25">
      <c r="A47" s="10"/>
      <c r="B47" s="10"/>
      <c r="C47" s="10"/>
      <c r="M47" s="10"/>
      <c r="N47" s="9"/>
      <c r="O47" s="9"/>
      <c r="P47" s="13"/>
      <c r="Q47" s="45"/>
    </row>
    <row r="48" spans="1:17" ht="14.45" customHeight="1" x14ac:dyDescent="0.25">
      <c r="A48" s="10"/>
      <c r="B48" s="10"/>
      <c r="C48" s="10"/>
      <c r="M48" s="10"/>
      <c r="N48" s="9"/>
      <c r="O48" s="9"/>
      <c r="P48" s="13"/>
      <c r="Q48" s="45"/>
    </row>
    <row r="49" spans="1:17" ht="14.45" customHeight="1" x14ac:dyDescent="0.25">
      <c r="A49" s="10"/>
      <c r="B49" s="10"/>
      <c r="C49" s="10"/>
      <c r="M49" s="10"/>
      <c r="N49" s="9"/>
      <c r="O49" s="9"/>
      <c r="P49" s="13"/>
      <c r="Q49" s="45"/>
    </row>
    <row r="50" spans="1:17" ht="14.45" customHeight="1" x14ac:dyDescent="0.25">
      <c r="A50" s="10"/>
      <c r="B50" s="10"/>
      <c r="C50" s="10"/>
      <c r="D50" s="52" t="s">
        <v>46</v>
      </c>
      <c r="E50" s="52"/>
      <c r="F50" s="52"/>
      <c r="G50" s="52"/>
      <c r="H50" s="52"/>
      <c r="I50" s="52"/>
      <c r="J50" s="52"/>
      <c r="K50" s="52"/>
      <c r="L50" s="52"/>
      <c r="M50" s="10"/>
      <c r="N50" s="9"/>
      <c r="O50" s="9"/>
      <c r="P50" s="13"/>
      <c r="Q50" s="45"/>
    </row>
    <row r="51" spans="1:17" ht="14.45" customHeight="1" x14ac:dyDescent="0.25">
      <c r="A51" s="10"/>
      <c r="B51" s="10"/>
      <c r="C51" s="10"/>
      <c r="D51" s="52" t="s">
        <v>60</v>
      </c>
      <c r="E51" s="52"/>
      <c r="F51" s="52"/>
      <c r="G51" s="52"/>
      <c r="H51" s="52"/>
      <c r="I51" s="52"/>
      <c r="J51" s="52"/>
      <c r="K51" s="52"/>
      <c r="L51" s="52"/>
      <c r="M51" s="10"/>
      <c r="N51" s="9"/>
      <c r="O51" s="9"/>
      <c r="P51" s="13"/>
      <c r="Q51" s="45"/>
    </row>
    <row r="52" spans="1:17" ht="14.45" customHeight="1" x14ac:dyDescent="0.25">
      <c r="A52" s="10"/>
      <c r="B52" s="10"/>
      <c r="C52" s="10"/>
      <c r="D52" s="52" t="s">
        <v>61</v>
      </c>
      <c r="E52" s="52"/>
      <c r="F52" s="52"/>
      <c r="G52" s="52"/>
      <c r="H52" s="52"/>
      <c r="I52" s="52"/>
      <c r="J52" s="52"/>
      <c r="K52" s="52"/>
      <c r="L52" s="52"/>
      <c r="M52" s="10"/>
      <c r="N52" s="9"/>
      <c r="O52" s="9"/>
      <c r="P52" s="13"/>
      <c r="Q52" s="45"/>
    </row>
    <row r="53" spans="1:17" ht="14.45" customHeight="1" x14ac:dyDescent="0.25">
      <c r="A53" s="10"/>
      <c r="B53" s="10"/>
      <c r="C53" s="10"/>
      <c r="D53" s="52" t="s">
        <v>62</v>
      </c>
      <c r="E53" s="52"/>
      <c r="F53" s="52"/>
      <c r="G53" s="52"/>
      <c r="H53" s="52"/>
      <c r="I53" s="52"/>
      <c r="J53" s="52"/>
      <c r="K53" s="52"/>
      <c r="L53" s="52"/>
      <c r="M53" s="10"/>
      <c r="N53" s="9"/>
      <c r="O53" s="9"/>
      <c r="P53" s="9"/>
      <c r="Q53" s="45"/>
    </row>
    <row r="54" spans="1:17" ht="14.45" customHeigh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9"/>
      <c r="O54" s="9"/>
      <c r="P54" s="9"/>
      <c r="Q54" s="45"/>
    </row>
    <row r="55" spans="1:17" ht="14.45" customHeigh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9"/>
      <c r="O55" s="9"/>
      <c r="P55" s="9"/>
      <c r="Q55" s="45"/>
    </row>
    <row r="56" spans="1:17" ht="14.45" customHeight="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45"/>
    </row>
    <row r="57" spans="1:17" ht="14.45" customHeight="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45"/>
    </row>
    <row r="58" spans="1:17" ht="14.45" customHeight="1" thickBot="1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9"/>
    </row>
    <row r="59" spans="1:17" ht="14.45" customHeight="1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1:17" ht="14.45" customHeight="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1:17" ht="14.45" customHeight="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</row>
    <row r="62" spans="1:17" ht="14.45" customHeight="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</row>
    <row r="63" spans="1:17" ht="14.45" customHeight="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</row>
    <row r="64" spans="1:17" ht="14.45" customHeight="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</row>
    <row r="65" spans="1:17" ht="14.45" customHeight="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</row>
    <row r="66" spans="1:17" ht="14.45" customHeight="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</row>
    <row r="67" spans="1:17" ht="14.45" customHeight="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</row>
    <row r="68" spans="1:17" ht="14.45" customHeight="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</row>
    <row r="69" spans="1:17" ht="14.45" customHeight="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</row>
    <row r="70" spans="1:17" ht="14.45" customHeight="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</row>
    <row r="71" spans="1:17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</row>
    <row r="72" spans="1:17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</row>
    <row r="73" spans="1:17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</row>
    <row r="74" spans="1:17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</row>
    <row r="75" spans="1:17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</row>
    <row r="76" spans="1:17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</row>
    <row r="77" spans="1:17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</row>
    <row r="78" spans="1:17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</row>
    <row r="79" spans="1:17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</row>
    <row r="80" spans="1:17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</row>
    <row r="81" spans="1:17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</row>
  </sheetData>
  <mergeCells count="112">
    <mergeCell ref="A26:B26"/>
    <mergeCell ref="A27:B27"/>
    <mergeCell ref="A28:B28"/>
    <mergeCell ref="A29:B29"/>
    <mergeCell ref="A30:B30"/>
    <mergeCell ref="A31:B31"/>
    <mergeCell ref="J6:O6"/>
    <mergeCell ref="J5:O5"/>
    <mergeCell ref="A22:H22"/>
    <mergeCell ref="A24:B24"/>
    <mergeCell ref="A25:B25"/>
    <mergeCell ref="L24:M24"/>
    <mergeCell ref="J10:K10"/>
    <mergeCell ref="J11:K11"/>
    <mergeCell ref="J15:O15"/>
    <mergeCell ref="J16:O16"/>
    <mergeCell ref="J17:O17"/>
    <mergeCell ref="J18:O18"/>
    <mergeCell ref="J8:O8"/>
    <mergeCell ref="J7:O7"/>
    <mergeCell ref="J12:K12"/>
    <mergeCell ref="J13:K13"/>
    <mergeCell ref="J14:K14"/>
    <mergeCell ref="G26:I26"/>
    <mergeCell ref="G27:I27"/>
    <mergeCell ref="G28:I28"/>
    <mergeCell ref="G29:I29"/>
    <mergeCell ref="G30:I30"/>
    <mergeCell ref="G31:I31"/>
    <mergeCell ref="C24:F24"/>
    <mergeCell ref="C25:F25"/>
    <mergeCell ref="C26:F26"/>
    <mergeCell ref="C27:F27"/>
    <mergeCell ref="C28:F28"/>
    <mergeCell ref="C29:F29"/>
    <mergeCell ref="C30:F30"/>
    <mergeCell ref="C31:F31"/>
    <mergeCell ref="A38:B38"/>
    <mergeCell ref="C34:F34"/>
    <mergeCell ref="C35:F35"/>
    <mergeCell ref="C36:F36"/>
    <mergeCell ref="C37:F37"/>
    <mergeCell ref="C38:F38"/>
    <mergeCell ref="L32:N32"/>
    <mergeCell ref="L33:N33"/>
    <mergeCell ref="A34:B34"/>
    <mergeCell ref="A35:B35"/>
    <mergeCell ref="A36:B36"/>
    <mergeCell ref="A37:B37"/>
    <mergeCell ref="G34:I34"/>
    <mergeCell ref="G35:I35"/>
    <mergeCell ref="G36:I36"/>
    <mergeCell ref="G37:I37"/>
    <mergeCell ref="J32:K32"/>
    <mergeCell ref="J33:K33"/>
    <mergeCell ref="G32:I32"/>
    <mergeCell ref="G33:I33"/>
    <mergeCell ref="C32:F32"/>
    <mergeCell ref="C33:F33"/>
    <mergeCell ref="A32:B32"/>
    <mergeCell ref="A33:B33"/>
    <mergeCell ref="I42:L42"/>
    <mergeCell ref="I43:L43"/>
    <mergeCell ref="L34:N34"/>
    <mergeCell ref="L35:N35"/>
    <mergeCell ref="L36:N36"/>
    <mergeCell ref="L37:N37"/>
    <mergeCell ref="L38:N38"/>
    <mergeCell ref="G38:I38"/>
    <mergeCell ref="J34:K34"/>
    <mergeCell ref="J35:K35"/>
    <mergeCell ref="J36:K36"/>
    <mergeCell ref="J37:K37"/>
    <mergeCell ref="J38:K38"/>
    <mergeCell ref="J40:L40"/>
    <mergeCell ref="D53:L53"/>
    <mergeCell ref="D50:L50"/>
    <mergeCell ref="D51:L51"/>
    <mergeCell ref="D52:L52"/>
    <mergeCell ref="I39:L39"/>
    <mergeCell ref="L29:N29"/>
    <mergeCell ref="L30:N30"/>
    <mergeCell ref="L31:N31"/>
    <mergeCell ref="J24:K24"/>
    <mergeCell ref="J25:K25"/>
    <mergeCell ref="J26:K26"/>
    <mergeCell ref="J27:K27"/>
    <mergeCell ref="J28:K28"/>
    <mergeCell ref="J29:K29"/>
    <mergeCell ref="J30:K30"/>
    <mergeCell ref="J31:K31"/>
    <mergeCell ref="G24:I24"/>
    <mergeCell ref="G25:I25"/>
    <mergeCell ref="L26:N26"/>
    <mergeCell ref="M39:N39"/>
    <mergeCell ref="M40:N40"/>
    <mergeCell ref="M41:N41"/>
    <mergeCell ref="M43:N43"/>
    <mergeCell ref="I41:L41"/>
    <mergeCell ref="L27:N27"/>
    <mergeCell ref="L28:N28"/>
    <mergeCell ref="J19:K19"/>
    <mergeCell ref="J20:K20"/>
    <mergeCell ref="J21:K21"/>
    <mergeCell ref="J22:K22"/>
    <mergeCell ref="J23:K23"/>
    <mergeCell ref="L25:N25"/>
    <mergeCell ref="J1:K1"/>
    <mergeCell ref="J2:K2"/>
    <mergeCell ref="J3:K3"/>
    <mergeCell ref="J4:K4"/>
    <mergeCell ref="J9:K9"/>
  </mergeCells>
  <dataValidations disablePrompts="1" count="1">
    <dataValidation type="whole" operator="greaterThan" allowBlank="1" showInputMessage="1" showErrorMessage="1" sqref="Q25" xr:uid="{D4D91964-038C-4851-97CD-7AF15ADCDBF6}">
      <formula1>0</formula1>
    </dataValidation>
  </dataValidations>
  <pageMargins left="0.23622047244094491" right="0.23622047244094491" top="0.74803149606299213" bottom="0.74803149606299213" header="0.31496062992125984" footer="0.31496062992125984"/>
  <pageSetup paperSize="9" scale="6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goto_Factuurgegevens">
                <anchor>
                  <from>
                    <xdr:col>19</xdr:col>
                    <xdr:colOff>19050</xdr:colOff>
                    <xdr:row>0</xdr:row>
                    <xdr:rowOff>200025</xdr:rowOff>
                  </from>
                  <to>
                    <xdr:col>22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rinten">
                <anchor>
                  <from>
                    <xdr:col>19</xdr:col>
                    <xdr:colOff>38100</xdr:colOff>
                    <xdr:row>6</xdr:row>
                    <xdr:rowOff>19050</xdr:rowOff>
                  </from>
                  <to>
                    <xdr:col>22</xdr:col>
                    <xdr:colOff>38100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oto_Knoppen">
                <anchor>
                  <from>
                    <xdr:col>19</xdr:col>
                    <xdr:colOff>19050</xdr:colOff>
                    <xdr:row>11</xdr:row>
                    <xdr:rowOff>28575</xdr:rowOff>
                  </from>
                  <to>
                    <xdr:col>22</xdr:col>
                    <xdr:colOff>19050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goto_Invoice_Copy">
                <anchor>
                  <from>
                    <xdr:col>23</xdr:col>
                    <xdr:colOff>19050</xdr:colOff>
                    <xdr:row>1</xdr:row>
                    <xdr:rowOff>19050</xdr:rowOff>
                  </from>
                  <to>
                    <xdr:col>26</xdr:col>
                    <xdr:colOff>19050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8" name="Button 9">
              <controlPr defaultSize="0" print="0" autoFill="0" autoPict="0" macro="[0]!Print_Copy">
                <anchor>
                  <from>
                    <xdr:col>23</xdr:col>
                    <xdr:colOff>19050</xdr:colOff>
                    <xdr:row>6</xdr:row>
                    <xdr:rowOff>9525</xdr:rowOff>
                  </from>
                  <to>
                    <xdr:col>26</xdr:col>
                    <xdr:colOff>19050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651FE909-E399-4464-A6CD-805F28FC9A42}">
          <x14:formula1>
            <xm:f>Producten!$B$3:$B$15</xm:f>
          </x14:formula1>
          <xm:sqref>R25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CAB07-FF47-4544-A9E5-5B57CD7DDEDD}">
  <sheetPr codeName="Sheet8">
    <pageSetUpPr fitToPage="1"/>
  </sheetPr>
  <dimension ref="A1:AA81"/>
  <sheetViews>
    <sheetView zoomScale="70" zoomScaleNormal="70" workbookViewId="0">
      <selection activeCell="T38" sqref="T38"/>
    </sheetView>
  </sheetViews>
  <sheetFormatPr defaultRowHeight="15" x14ac:dyDescent="0.25"/>
  <cols>
    <col min="3" max="3" width="14.140625" customWidth="1"/>
    <col min="8" max="8" width="13.5703125" customWidth="1"/>
    <col min="9" max="9" width="14.85546875" customWidth="1"/>
    <col min="10" max="10" width="11.28515625" customWidth="1"/>
    <col min="11" max="11" width="4.28515625" customWidth="1"/>
    <col min="12" max="12" width="12.140625" customWidth="1"/>
    <col min="13" max="13" width="17.7109375" customWidth="1"/>
    <col min="14" max="14" width="10.5703125" customWidth="1"/>
    <col min="15" max="15" width="7.28515625" customWidth="1"/>
  </cols>
  <sheetData>
    <row r="1" spans="1:27" ht="15.75" x14ac:dyDescent="0.25">
      <c r="A1" s="18"/>
      <c r="B1" s="18"/>
      <c r="C1" s="18"/>
      <c r="D1" s="18"/>
      <c r="E1" s="18"/>
      <c r="F1" s="18"/>
      <c r="G1" s="18"/>
      <c r="H1" s="18"/>
      <c r="I1" s="18"/>
      <c r="J1" s="51"/>
      <c r="K1" s="51"/>
      <c r="L1" s="18"/>
      <c r="M1" s="18"/>
      <c r="N1" s="12"/>
      <c r="O1" s="12"/>
      <c r="P1" s="9"/>
      <c r="Q1" s="39"/>
      <c r="S1" s="13"/>
      <c r="T1" s="13"/>
      <c r="U1" s="13"/>
      <c r="V1" s="13"/>
      <c r="W1" s="13"/>
      <c r="X1" s="13"/>
      <c r="Y1" s="13"/>
      <c r="Z1" s="13"/>
      <c r="AA1" s="13"/>
    </row>
    <row r="2" spans="1:27" ht="15.75" x14ac:dyDescent="0.25">
      <c r="A2" s="18"/>
      <c r="B2" s="18"/>
      <c r="C2" s="18"/>
      <c r="D2" s="18"/>
      <c r="E2" s="18"/>
      <c r="F2" s="18"/>
      <c r="G2" s="18"/>
      <c r="H2" s="18"/>
      <c r="I2" s="18"/>
      <c r="J2" s="51"/>
      <c r="K2" s="51"/>
      <c r="L2" s="18"/>
      <c r="M2" s="18"/>
      <c r="N2" s="12"/>
      <c r="O2" s="12"/>
      <c r="P2" s="9"/>
      <c r="Q2" s="39"/>
      <c r="S2" s="13"/>
      <c r="T2" s="13"/>
      <c r="U2" s="13"/>
      <c r="V2" s="13"/>
      <c r="W2" s="13"/>
      <c r="X2" s="13"/>
      <c r="Y2" s="13"/>
      <c r="Z2" s="13"/>
      <c r="AA2" s="13"/>
    </row>
    <row r="3" spans="1:27" ht="16.5" thickBot="1" x14ac:dyDescent="0.3">
      <c r="A3" s="18"/>
      <c r="B3" s="18"/>
      <c r="C3" s="18"/>
      <c r="D3" s="18"/>
      <c r="E3" s="18"/>
      <c r="F3" s="18"/>
      <c r="G3" s="18"/>
      <c r="H3" s="18"/>
      <c r="I3" s="18"/>
      <c r="J3" s="51"/>
      <c r="K3" s="51"/>
      <c r="L3" s="18"/>
      <c r="M3" s="18"/>
      <c r="N3" s="12"/>
      <c r="O3" s="12"/>
      <c r="P3" s="9"/>
      <c r="Q3" s="39"/>
      <c r="S3" s="13"/>
      <c r="T3" s="13"/>
      <c r="U3" s="13"/>
      <c r="V3" s="13"/>
      <c r="W3" s="13"/>
      <c r="X3" s="13"/>
      <c r="Y3" s="13"/>
      <c r="Z3" s="13"/>
      <c r="AA3" s="13"/>
    </row>
    <row r="4" spans="1:27" ht="15.75" x14ac:dyDescent="0.25">
      <c r="A4" s="18"/>
      <c r="B4" s="68" t="s">
        <v>97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70"/>
      <c r="P4" s="9"/>
      <c r="Q4" s="39"/>
      <c r="S4" s="13"/>
      <c r="T4" s="13"/>
      <c r="U4" s="13"/>
      <c r="V4" s="13"/>
      <c r="W4" s="13"/>
      <c r="X4" s="13"/>
      <c r="Y4" s="13"/>
      <c r="Z4" s="13"/>
      <c r="AA4" s="13"/>
    </row>
    <row r="5" spans="1:27" ht="15.75" x14ac:dyDescent="0.25">
      <c r="A5" s="18"/>
      <c r="B5" s="71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3"/>
      <c r="P5" s="9"/>
      <c r="Q5" s="39"/>
      <c r="S5" s="13"/>
      <c r="T5" s="13"/>
      <c r="U5" s="13"/>
      <c r="V5" s="13"/>
      <c r="W5" s="13"/>
      <c r="X5" s="13"/>
      <c r="Y5" s="13"/>
      <c r="Z5" s="13"/>
      <c r="AA5" s="13"/>
    </row>
    <row r="6" spans="1:27" ht="15.6" customHeight="1" x14ac:dyDescent="0.25">
      <c r="A6" s="18"/>
      <c r="B6" s="71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3"/>
      <c r="P6" s="9"/>
      <c r="Q6" s="39"/>
      <c r="S6" s="13"/>
      <c r="T6" s="13"/>
      <c r="U6" s="13"/>
      <c r="V6" s="13"/>
      <c r="W6" s="13"/>
      <c r="X6" s="13"/>
      <c r="Y6" s="13"/>
      <c r="Z6" s="13"/>
      <c r="AA6" s="13"/>
    </row>
    <row r="7" spans="1:27" ht="15.75" x14ac:dyDescent="0.25">
      <c r="A7" s="18"/>
      <c r="B7" s="71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3"/>
      <c r="P7" s="9"/>
      <c r="Q7" s="39"/>
      <c r="S7" s="13"/>
      <c r="T7" s="13"/>
      <c r="U7" s="13"/>
      <c r="V7" s="13"/>
      <c r="W7" s="13"/>
      <c r="X7" s="13"/>
      <c r="Y7" s="13"/>
      <c r="Z7" s="13"/>
      <c r="AA7" s="13"/>
    </row>
    <row r="8" spans="1:27" ht="15.75" x14ac:dyDescent="0.25">
      <c r="A8" s="18"/>
      <c r="B8" s="71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3"/>
      <c r="P8" s="9"/>
      <c r="Q8" s="39"/>
      <c r="S8" s="13"/>
      <c r="T8" s="13"/>
      <c r="U8" s="13"/>
      <c r="V8" s="13"/>
      <c r="W8" s="13"/>
      <c r="X8" s="13"/>
      <c r="Y8" s="13"/>
      <c r="Z8" s="13"/>
      <c r="AA8" s="13"/>
    </row>
    <row r="9" spans="1:27" ht="15.75" x14ac:dyDescent="0.25">
      <c r="A9" s="18"/>
      <c r="B9" s="71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3"/>
      <c r="P9" s="9"/>
      <c r="Q9" s="39"/>
      <c r="S9" s="13"/>
      <c r="T9" s="13"/>
      <c r="U9" s="13"/>
      <c r="V9" s="13"/>
      <c r="W9" s="13"/>
      <c r="X9" s="13"/>
      <c r="Y9" s="13"/>
      <c r="Z9" s="13"/>
      <c r="AA9" s="13"/>
    </row>
    <row r="10" spans="1:27" ht="15.75" x14ac:dyDescent="0.25">
      <c r="A10" s="18"/>
      <c r="B10" s="71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3"/>
      <c r="P10" s="9"/>
      <c r="Q10" s="39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6.5" thickBot="1" x14ac:dyDescent="0.3">
      <c r="A11" s="18"/>
      <c r="B11" s="74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6"/>
      <c r="P11" s="9"/>
      <c r="Q11" s="39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.75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51"/>
      <c r="K12" s="51"/>
      <c r="L12" s="18"/>
      <c r="M12" s="18"/>
      <c r="N12" s="12"/>
      <c r="O12" s="12"/>
      <c r="P12" s="9"/>
      <c r="Q12" s="39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5.75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51"/>
      <c r="K13" s="51"/>
      <c r="L13" s="18"/>
      <c r="M13" s="18"/>
      <c r="N13" s="12"/>
      <c r="O13" s="12"/>
      <c r="P13" s="9"/>
      <c r="Q13" s="39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.75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51"/>
      <c r="K14" s="51"/>
      <c r="L14" s="18"/>
      <c r="M14" s="18"/>
      <c r="N14" s="12"/>
      <c r="O14" s="12"/>
      <c r="P14" s="9"/>
      <c r="Q14" s="39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15.75" x14ac:dyDescent="0.25">
      <c r="A15" s="18"/>
      <c r="B15" s="18"/>
      <c r="C15" s="18"/>
      <c r="D15" s="18"/>
      <c r="E15" s="18"/>
      <c r="F15" s="18"/>
      <c r="G15" s="18"/>
      <c r="H15" s="18"/>
      <c r="I15" s="19" t="s">
        <v>59</v>
      </c>
      <c r="J15" s="51" t="str">
        <f>Factuurgegevens!C8</f>
        <v>J.K Janssen</v>
      </c>
      <c r="K15" s="51"/>
      <c r="L15" s="51"/>
      <c r="M15" s="51"/>
      <c r="N15" s="51"/>
      <c r="O15" s="51"/>
      <c r="P15" s="9"/>
      <c r="Q15" s="39"/>
      <c r="S15" s="13"/>
      <c r="T15" s="13"/>
      <c r="U15" s="13"/>
      <c r="V15" s="13"/>
      <c r="W15" s="13"/>
      <c r="X15" s="13"/>
      <c r="Y15" s="13"/>
      <c r="Z15" s="13"/>
      <c r="AA15" s="13"/>
    </row>
    <row r="16" spans="1:27" ht="15.75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51" t="str">
        <f ca="1">Factuurgegevens!C9</f>
        <v>Dezestraat 1</v>
      </c>
      <c r="K16" s="51"/>
      <c r="L16" s="51"/>
      <c r="M16" s="51"/>
      <c r="N16" s="51"/>
      <c r="O16" s="51"/>
      <c r="P16" s="9"/>
      <c r="Q16" s="39"/>
      <c r="S16" s="13"/>
      <c r="T16" s="13"/>
      <c r="U16" s="13"/>
      <c r="V16" s="13"/>
      <c r="W16" s="13"/>
      <c r="X16" s="13"/>
      <c r="Y16" s="13"/>
      <c r="Z16" s="13"/>
      <c r="AA16" s="13"/>
    </row>
    <row r="17" spans="1:27" ht="15.75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51" t="str">
        <f ca="1">Factuurgegevens!C10</f>
        <v>5552DN</v>
      </c>
      <c r="K17" s="51"/>
      <c r="L17" s="51"/>
      <c r="M17" s="51"/>
      <c r="N17" s="51"/>
      <c r="O17" s="51"/>
      <c r="P17" s="9"/>
      <c r="Q17" s="39"/>
      <c r="S17" s="13"/>
      <c r="T17" s="13"/>
      <c r="U17" s="13"/>
      <c r="V17" s="13"/>
      <c r="W17" s="13"/>
      <c r="X17" s="13"/>
      <c r="Y17" s="13"/>
      <c r="Z17" s="13"/>
      <c r="AA17" s="13"/>
    </row>
    <row r="18" spans="1:27" ht="15.75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51" t="str">
        <f ca="1">Factuurgegevens!C11</f>
        <v>Amsterdam</v>
      </c>
      <c r="K18" s="51"/>
      <c r="L18" s="51"/>
      <c r="M18" s="51"/>
      <c r="N18" s="51"/>
      <c r="O18" s="51"/>
      <c r="P18" s="9"/>
      <c r="Q18" s="39"/>
      <c r="S18" s="13"/>
      <c r="T18" s="13"/>
      <c r="U18" s="13"/>
      <c r="V18" s="13"/>
      <c r="W18" s="13"/>
      <c r="X18" s="13"/>
      <c r="Y18" s="13"/>
      <c r="Z18" s="13"/>
      <c r="AA18" s="13"/>
    </row>
    <row r="19" spans="1:27" ht="15.75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51"/>
      <c r="K19" s="51"/>
      <c r="L19" s="18"/>
      <c r="M19" s="18"/>
      <c r="N19" s="12"/>
      <c r="O19" s="12"/>
      <c r="P19" s="9"/>
      <c r="Q19" s="39"/>
      <c r="S19" s="13"/>
      <c r="T19" s="13"/>
      <c r="U19" s="13"/>
      <c r="V19" s="13"/>
      <c r="W19" s="13"/>
      <c r="X19" s="13"/>
      <c r="Y19" s="13"/>
      <c r="Z19" s="13"/>
      <c r="AA19" s="13"/>
    </row>
    <row r="20" spans="1:27" ht="15.75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51"/>
      <c r="K20" s="51"/>
      <c r="L20" s="18"/>
      <c r="M20" s="18"/>
      <c r="N20" s="12"/>
      <c r="O20" s="12"/>
      <c r="P20" s="9"/>
      <c r="Q20" s="39"/>
      <c r="S20" s="13"/>
      <c r="T20" s="13"/>
      <c r="U20" s="13"/>
      <c r="V20" s="13"/>
      <c r="W20" s="13"/>
      <c r="X20" s="13"/>
      <c r="Y20" s="13"/>
      <c r="Z20" s="13"/>
      <c r="AA20" s="13"/>
    </row>
    <row r="21" spans="1:27" ht="15.75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51"/>
      <c r="K21" s="51"/>
      <c r="L21" s="18"/>
      <c r="M21" s="18"/>
      <c r="N21" s="12"/>
      <c r="O21" s="12"/>
      <c r="P21" s="9"/>
      <c r="Q21" s="39"/>
      <c r="S21" s="13"/>
      <c r="T21" s="13"/>
      <c r="U21" s="13"/>
      <c r="V21" s="13"/>
      <c r="W21" s="13"/>
      <c r="X21" s="13"/>
      <c r="Y21" s="13"/>
      <c r="Z21" s="13"/>
      <c r="AA21" s="13"/>
    </row>
    <row r="22" spans="1:27" ht="30" customHeight="1" x14ac:dyDescent="0.25">
      <c r="A22" s="61"/>
      <c r="B22" s="61"/>
      <c r="C22" s="61"/>
      <c r="D22" s="61"/>
      <c r="E22" s="61"/>
      <c r="F22" s="61"/>
      <c r="G22" s="61"/>
      <c r="H22" s="61"/>
      <c r="I22" s="18"/>
      <c r="J22" s="51"/>
      <c r="K22" s="51"/>
      <c r="L22" s="18"/>
      <c r="M22" s="18"/>
      <c r="N22" s="12"/>
      <c r="O22" s="12"/>
      <c r="P22" s="9"/>
      <c r="Q22" s="39"/>
      <c r="S22" s="13"/>
      <c r="T22" s="13"/>
      <c r="U22" s="13"/>
      <c r="V22" s="13"/>
      <c r="W22" s="13"/>
      <c r="X22" s="13"/>
      <c r="Y22" s="13"/>
      <c r="Z22" s="13"/>
      <c r="AA22" s="13"/>
    </row>
    <row r="23" spans="1:27" ht="30" customHeight="1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51"/>
      <c r="K23" s="51"/>
      <c r="L23" s="18"/>
      <c r="M23" s="18"/>
      <c r="N23" s="12"/>
      <c r="O23" s="12"/>
      <c r="P23" s="9"/>
      <c r="Q23" s="39"/>
      <c r="S23" s="13"/>
      <c r="T23" s="13"/>
      <c r="U23" s="13"/>
      <c r="V23" s="13"/>
      <c r="W23" s="13"/>
      <c r="X23" s="13"/>
      <c r="Y23" s="13"/>
      <c r="Z23" s="13"/>
      <c r="AA23" s="13"/>
    </row>
    <row r="24" spans="1:27" ht="30" customHeight="1" x14ac:dyDescent="0.25">
      <c r="A24" s="65" t="s">
        <v>51</v>
      </c>
      <c r="B24" s="65"/>
      <c r="C24" s="55" t="s">
        <v>52</v>
      </c>
      <c r="D24" s="55"/>
      <c r="E24" s="55"/>
      <c r="F24" s="55"/>
      <c r="G24" s="55" t="s">
        <v>58</v>
      </c>
      <c r="H24" s="55"/>
      <c r="I24" s="55"/>
      <c r="J24" s="55" t="s">
        <v>53</v>
      </c>
      <c r="K24" s="55"/>
      <c r="L24" s="55" t="s">
        <v>54</v>
      </c>
      <c r="M24" s="55"/>
      <c r="N24" s="20"/>
      <c r="O24" s="12"/>
      <c r="P24" s="9"/>
      <c r="Q24" s="39"/>
    </row>
    <row r="25" spans="1:27" ht="30" customHeight="1" x14ac:dyDescent="0.25">
      <c r="A25" s="61">
        <f>IF(Factuurgegevens!B16 ="", "",Factuurgegevens!B16)</f>
        <v>2</v>
      </c>
      <c r="B25" s="61"/>
      <c r="C25" s="56" t="str">
        <f>IF(Factuurgegevens!C16 ="", "",Factuurgegevens!C16)</f>
        <v>Internetkabel 5m</v>
      </c>
      <c r="D25" s="56"/>
      <c r="E25" s="56"/>
      <c r="F25" s="56"/>
      <c r="G25" s="56">
        <f>Factuurgegevens!E16</f>
        <v>542369</v>
      </c>
      <c r="H25" s="56"/>
      <c r="I25" s="56"/>
      <c r="J25" s="50">
        <f>Factuurgegevens!H16</f>
        <v>6.98</v>
      </c>
      <c r="K25" s="50"/>
      <c r="L25" s="50">
        <f>Factuurgegevens!I16</f>
        <v>13.96</v>
      </c>
      <c r="M25" s="50"/>
      <c r="N25" s="50"/>
      <c r="O25" s="12"/>
      <c r="P25" s="9"/>
      <c r="Q25" s="39"/>
      <c r="W25" s="1" t="str">
        <f>IF(R25="", "",VLOOKUP(R25,Table1[],2,FALSE))</f>
        <v/>
      </c>
      <c r="X25" s="1" t="str">
        <f>IF(R25="", "", W25*Q25)</f>
        <v/>
      </c>
    </row>
    <row r="26" spans="1:27" ht="30" customHeight="1" x14ac:dyDescent="0.25">
      <c r="A26" s="61">
        <f>IF(Factuurgegevens!B17 ="", "",Factuurgegevens!B17)</f>
        <v>1</v>
      </c>
      <c r="B26" s="61"/>
      <c r="C26" s="56" t="str">
        <f>IF(Factuurgegevens!C17 ="", "",Factuurgegevens!C17)</f>
        <v>Modem</v>
      </c>
      <c r="D26" s="56"/>
      <c r="E26" s="56"/>
      <c r="F26" s="56"/>
      <c r="G26" s="56">
        <f>Factuurgegevens!E17</f>
        <v>959947</v>
      </c>
      <c r="H26" s="56"/>
      <c r="I26" s="56"/>
      <c r="J26" s="50">
        <f>Factuurgegevens!H17</f>
        <v>86.5</v>
      </c>
      <c r="K26" s="50"/>
      <c r="L26" s="50">
        <f>Factuurgegevens!I17</f>
        <v>86.5</v>
      </c>
      <c r="M26" s="50"/>
      <c r="N26" s="50"/>
      <c r="O26" s="12"/>
      <c r="P26" s="9"/>
      <c r="Q26" s="39"/>
    </row>
    <row r="27" spans="1:27" ht="30" customHeight="1" x14ac:dyDescent="0.25">
      <c r="A27" s="61">
        <f>IF(Factuurgegevens!B18 ="", "",Factuurgegevens!B18)</f>
        <v>1</v>
      </c>
      <c r="B27" s="61"/>
      <c r="C27" s="56" t="str">
        <f>IF(Factuurgegevens!C18 ="", "",Factuurgegevens!C18)</f>
        <v>Beveiligingscamera set</v>
      </c>
      <c r="D27" s="56"/>
      <c r="E27" s="56"/>
      <c r="F27" s="56"/>
      <c r="G27" s="56">
        <f>Factuurgegevens!E18</f>
        <v>154789</v>
      </c>
      <c r="H27" s="56"/>
      <c r="I27" s="56"/>
      <c r="J27" s="50">
        <f>Factuurgegevens!H18</f>
        <v>431.99</v>
      </c>
      <c r="K27" s="50"/>
      <c r="L27" s="50">
        <f>Factuurgegevens!I18</f>
        <v>431.99</v>
      </c>
      <c r="M27" s="50"/>
      <c r="N27" s="50"/>
      <c r="O27" s="12"/>
      <c r="P27" s="9"/>
      <c r="Q27" s="39"/>
    </row>
    <row r="28" spans="1:27" ht="30" customHeight="1" x14ac:dyDescent="0.25">
      <c r="A28" s="61" t="str">
        <f>IF(Factuurgegevens!B19 ="", "",Factuurgegevens!B19)</f>
        <v/>
      </c>
      <c r="B28" s="61"/>
      <c r="C28" s="56" t="str">
        <f>IF(Factuurgegevens!C19 ="", "",Factuurgegevens!C19)</f>
        <v/>
      </c>
      <c r="D28" s="56"/>
      <c r="E28" s="56"/>
      <c r="F28" s="56"/>
      <c r="G28" s="56" t="str">
        <f>Factuurgegevens!E19</f>
        <v/>
      </c>
      <c r="H28" s="56"/>
      <c r="I28" s="56"/>
      <c r="J28" s="50" t="str">
        <f>Factuurgegevens!H19</f>
        <v/>
      </c>
      <c r="K28" s="50"/>
      <c r="L28" s="50" t="str">
        <f>Factuurgegevens!I19</f>
        <v/>
      </c>
      <c r="M28" s="50"/>
      <c r="N28" s="50"/>
      <c r="O28" s="12"/>
      <c r="P28" s="9"/>
      <c r="Q28" s="39"/>
    </row>
    <row r="29" spans="1:27" ht="30" customHeight="1" x14ac:dyDescent="0.25">
      <c r="A29" s="61" t="str">
        <f>IF(Factuurgegevens!B20 ="", "",Factuurgegevens!B20)</f>
        <v/>
      </c>
      <c r="B29" s="61"/>
      <c r="C29" s="56" t="str">
        <f>IF(Factuurgegevens!C20 ="", "",Factuurgegevens!C20)</f>
        <v/>
      </c>
      <c r="D29" s="56"/>
      <c r="E29" s="56"/>
      <c r="F29" s="56"/>
      <c r="G29" s="56" t="str">
        <f>Factuurgegevens!E20</f>
        <v/>
      </c>
      <c r="H29" s="56"/>
      <c r="I29" s="56"/>
      <c r="J29" s="54" t="str">
        <f>Factuurgegevens!H20</f>
        <v/>
      </c>
      <c r="K29" s="54"/>
      <c r="L29" s="54" t="str">
        <f>Factuurgegevens!I20</f>
        <v/>
      </c>
      <c r="M29" s="54"/>
      <c r="N29" s="54"/>
      <c r="O29" s="12"/>
      <c r="P29" s="9"/>
      <c r="Q29" s="39"/>
    </row>
    <row r="30" spans="1:27" ht="30" customHeight="1" x14ac:dyDescent="0.25">
      <c r="A30" s="61" t="str">
        <f>IF(Factuurgegevens!B21 ="", "",Factuurgegevens!B21)</f>
        <v/>
      </c>
      <c r="B30" s="61"/>
      <c r="C30" s="56" t="str">
        <f>IF(Factuurgegevens!C21 ="", "",Factuurgegevens!C21)</f>
        <v/>
      </c>
      <c r="D30" s="56"/>
      <c r="E30" s="56"/>
      <c r="F30" s="56"/>
      <c r="G30" s="56" t="str">
        <f>Factuurgegevens!E21</f>
        <v/>
      </c>
      <c r="H30" s="56"/>
      <c r="I30" s="56"/>
      <c r="J30" s="54" t="str">
        <f>Factuurgegevens!H21</f>
        <v/>
      </c>
      <c r="K30" s="54"/>
      <c r="L30" s="54" t="str">
        <f>Factuurgegevens!I21</f>
        <v/>
      </c>
      <c r="M30" s="54"/>
      <c r="N30" s="54"/>
      <c r="O30" s="12"/>
      <c r="P30" s="9"/>
      <c r="Q30" s="39"/>
    </row>
    <row r="31" spans="1:27" ht="30" customHeight="1" x14ac:dyDescent="0.25">
      <c r="A31" s="61" t="str">
        <f>IF(Factuurgegevens!B22 ="", "",Factuurgegevens!B22)</f>
        <v/>
      </c>
      <c r="B31" s="61"/>
      <c r="C31" s="56" t="str">
        <f>IF(Factuurgegevens!C22 ="", "",Factuurgegevens!C22)</f>
        <v/>
      </c>
      <c r="D31" s="56"/>
      <c r="E31" s="56"/>
      <c r="F31" s="56"/>
      <c r="G31" s="56" t="str">
        <f>Factuurgegevens!E22</f>
        <v/>
      </c>
      <c r="H31" s="56"/>
      <c r="I31" s="56"/>
      <c r="J31" s="54" t="str">
        <f>Factuurgegevens!H22</f>
        <v/>
      </c>
      <c r="K31" s="54"/>
      <c r="L31" s="54" t="str">
        <f>Factuurgegevens!I22</f>
        <v/>
      </c>
      <c r="M31" s="54"/>
      <c r="N31" s="54"/>
      <c r="O31" s="12"/>
      <c r="P31" s="9"/>
      <c r="Q31" s="39"/>
    </row>
    <row r="32" spans="1:27" ht="30" customHeight="1" x14ac:dyDescent="0.25">
      <c r="A32" s="61" t="str">
        <f>IF(Factuurgegevens!B23 ="", "",Factuurgegevens!B23)</f>
        <v/>
      </c>
      <c r="B32" s="61"/>
      <c r="C32" s="56" t="str">
        <f>IF(Factuurgegevens!C23 ="", "",Factuurgegevens!C23)</f>
        <v/>
      </c>
      <c r="D32" s="56"/>
      <c r="E32" s="56"/>
      <c r="F32" s="56"/>
      <c r="G32" s="56" t="str">
        <f>Factuurgegevens!E23</f>
        <v/>
      </c>
      <c r="H32" s="56"/>
      <c r="I32" s="56"/>
      <c r="J32" s="54" t="str">
        <f>Factuurgegevens!H23</f>
        <v/>
      </c>
      <c r="K32" s="54"/>
      <c r="L32" s="54" t="str">
        <f>Factuurgegevens!I23</f>
        <v/>
      </c>
      <c r="M32" s="54"/>
      <c r="N32" s="54"/>
      <c r="O32" s="12"/>
      <c r="P32" s="9"/>
      <c r="Q32" s="39"/>
    </row>
    <row r="33" spans="1:17" ht="30" customHeight="1" x14ac:dyDescent="0.25">
      <c r="A33" s="61" t="str">
        <f>IF(Factuurgegevens!B24 ="", "",Factuurgegevens!B24)</f>
        <v/>
      </c>
      <c r="B33" s="61"/>
      <c r="C33" s="56" t="str">
        <f>IF(Factuurgegevens!C24 ="", "",Factuurgegevens!C24)</f>
        <v/>
      </c>
      <c r="D33" s="56"/>
      <c r="E33" s="56"/>
      <c r="F33" s="56"/>
      <c r="G33" s="56" t="str">
        <f>Factuurgegevens!E24</f>
        <v/>
      </c>
      <c r="H33" s="56"/>
      <c r="I33" s="56"/>
      <c r="J33" s="54" t="str">
        <f>Factuurgegevens!H24</f>
        <v/>
      </c>
      <c r="K33" s="54"/>
      <c r="L33" s="54" t="str">
        <f>Factuurgegevens!I24</f>
        <v/>
      </c>
      <c r="M33" s="54"/>
      <c r="N33" s="54"/>
      <c r="O33" s="12"/>
      <c r="P33" s="9"/>
      <c r="Q33" s="39"/>
    </row>
    <row r="34" spans="1:17" ht="30" customHeight="1" x14ac:dyDescent="0.25">
      <c r="A34" s="61" t="str">
        <f>IF(Factuurgegevens!B25 ="", "",Factuurgegevens!B25)</f>
        <v/>
      </c>
      <c r="B34" s="61"/>
      <c r="C34" s="56" t="str">
        <f>IF(Factuurgegevens!C25 ="", "",Factuurgegevens!C25)</f>
        <v/>
      </c>
      <c r="D34" s="56"/>
      <c r="E34" s="56"/>
      <c r="F34" s="56"/>
      <c r="G34" s="56" t="str">
        <f>Factuurgegevens!E25</f>
        <v/>
      </c>
      <c r="H34" s="56"/>
      <c r="I34" s="56"/>
      <c r="J34" s="54" t="str">
        <f>Factuurgegevens!H25</f>
        <v/>
      </c>
      <c r="K34" s="54"/>
      <c r="L34" s="54" t="str">
        <f>Factuurgegevens!I25</f>
        <v/>
      </c>
      <c r="M34" s="54"/>
      <c r="N34" s="54"/>
      <c r="O34" s="12"/>
      <c r="P34" s="9"/>
      <c r="Q34" s="39"/>
    </row>
    <row r="35" spans="1:17" ht="30" customHeight="1" x14ac:dyDescent="0.25">
      <c r="A35" s="61" t="str">
        <f>IF(Factuurgegevens!B26 ="", "",Factuurgegevens!B26)</f>
        <v/>
      </c>
      <c r="B35" s="61"/>
      <c r="C35" s="56" t="str">
        <f>IF(Factuurgegevens!C26 ="", "",Factuurgegevens!C26)</f>
        <v/>
      </c>
      <c r="D35" s="56"/>
      <c r="E35" s="56"/>
      <c r="F35" s="56"/>
      <c r="G35" s="56" t="str">
        <f>Factuurgegevens!E26</f>
        <v/>
      </c>
      <c r="H35" s="56"/>
      <c r="I35" s="56"/>
      <c r="J35" s="54" t="str">
        <f>Factuurgegevens!H26</f>
        <v/>
      </c>
      <c r="K35" s="54"/>
      <c r="L35" s="54" t="str">
        <f>Factuurgegevens!I26</f>
        <v/>
      </c>
      <c r="M35" s="54"/>
      <c r="N35" s="54"/>
      <c r="O35" s="12"/>
      <c r="P35" s="9"/>
      <c r="Q35" s="39"/>
    </row>
    <row r="36" spans="1:17" ht="30" customHeight="1" x14ac:dyDescent="0.25">
      <c r="A36" s="61" t="str">
        <f>IF(Factuurgegevens!B27 ="", "",Factuurgegevens!B27)</f>
        <v/>
      </c>
      <c r="B36" s="61"/>
      <c r="C36" s="56" t="str">
        <f>IF(Factuurgegevens!C27 ="", "",Factuurgegevens!C27)</f>
        <v/>
      </c>
      <c r="D36" s="56"/>
      <c r="E36" s="56"/>
      <c r="F36" s="56"/>
      <c r="G36" s="56" t="str">
        <f>Factuurgegevens!E27</f>
        <v/>
      </c>
      <c r="H36" s="56"/>
      <c r="I36" s="56"/>
      <c r="J36" s="54" t="str">
        <f>Factuurgegevens!H27</f>
        <v/>
      </c>
      <c r="K36" s="54"/>
      <c r="L36" s="54" t="str">
        <f>Factuurgegevens!I27</f>
        <v/>
      </c>
      <c r="M36" s="54"/>
      <c r="N36" s="54"/>
      <c r="O36" s="12"/>
      <c r="P36" s="9"/>
      <c r="Q36" s="39"/>
    </row>
    <row r="37" spans="1:17" ht="30" customHeight="1" thickBot="1" x14ac:dyDescent="0.3">
      <c r="A37" s="61"/>
      <c r="B37" s="61"/>
      <c r="C37" s="56"/>
      <c r="D37" s="56"/>
      <c r="E37" s="56"/>
      <c r="F37" s="56"/>
      <c r="G37" s="56"/>
      <c r="H37" s="56"/>
      <c r="I37" s="56"/>
      <c r="J37" s="54"/>
      <c r="K37" s="54"/>
      <c r="L37" s="59"/>
      <c r="M37" s="59"/>
      <c r="N37" s="59"/>
      <c r="O37" s="12"/>
      <c r="P37" s="9"/>
      <c r="Q37" s="39"/>
    </row>
    <row r="38" spans="1:17" ht="14.45" customHeight="1" x14ac:dyDescent="0.25">
      <c r="A38" s="56"/>
      <c r="B38" s="56"/>
      <c r="C38" s="56"/>
      <c r="D38" s="56"/>
      <c r="E38" s="56"/>
      <c r="F38" s="56"/>
      <c r="G38" s="56"/>
      <c r="H38" s="56"/>
      <c r="I38" s="56"/>
      <c r="J38" s="54"/>
      <c r="K38" s="54"/>
      <c r="L38" s="60"/>
      <c r="M38" s="60"/>
      <c r="N38" s="60"/>
      <c r="O38" s="12"/>
      <c r="P38" s="9"/>
      <c r="Q38" s="39"/>
    </row>
    <row r="39" spans="1:17" ht="14.45" customHeight="1" x14ac:dyDescent="0.25">
      <c r="A39" s="18"/>
      <c r="B39" s="18"/>
      <c r="C39" s="18"/>
      <c r="D39" s="18"/>
      <c r="E39" s="18"/>
      <c r="F39" s="18"/>
      <c r="G39" s="18"/>
      <c r="H39" s="18"/>
      <c r="I39" s="53" t="s">
        <v>55</v>
      </c>
      <c r="J39" s="53"/>
      <c r="K39" s="53"/>
      <c r="L39" s="53"/>
      <c r="M39" s="57">
        <f>SUM(L25:N37)</f>
        <v>532.45000000000005</v>
      </c>
      <c r="N39" s="57"/>
      <c r="O39" s="12"/>
      <c r="P39" s="9"/>
      <c r="Q39" s="39"/>
    </row>
    <row r="40" spans="1:17" ht="14.45" customHeight="1" x14ac:dyDescent="0.25">
      <c r="A40" s="18"/>
      <c r="B40" s="18"/>
      <c r="C40" s="18"/>
      <c r="D40" s="18"/>
      <c r="E40" s="18"/>
      <c r="F40" s="18"/>
      <c r="G40" s="18"/>
      <c r="H40" s="11"/>
      <c r="I40" s="22">
        <f>Factuurgegevens!C12</f>
        <v>0.21</v>
      </c>
      <c r="J40" s="53" t="s">
        <v>56</v>
      </c>
      <c r="K40" s="53"/>
      <c r="L40" s="53"/>
      <c r="M40" s="57">
        <f>M39*I40</f>
        <v>111.81450000000001</v>
      </c>
      <c r="N40" s="57"/>
      <c r="O40" s="12"/>
      <c r="P40" s="9"/>
      <c r="Q40" s="45"/>
    </row>
    <row r="41" spans="1:17" ht="14.45" customHeight="1" thickBot="1" x14ac:dyDescent="0.3">
      <c r="A41" s="18"/>
      <c r="B41" s="18"/>
      <c r="C41" s="18"/>
      <c r="D41" s="18"/>
      <c r="E41" s="18"/>
      <c r="F41" s="18"/>
      <c r="G41" s="18"/>
      <c r="H41" s="18"/>
      <c r="I41" s="51"/>
      <c r="J41" s="51"/>
      <c r="K41" s="51"/>
      <c r="L41" s="51"/>
      <c r="M41" s="58"/>
      <c r="N41" s="58"/>
      <c r="O41" s="12"/>
      <c r="P41" s="9"/>
      <c r="Q41" s="45"/>
    </row>
    <row r="42" spans="1:17" ht="14.45" customHeight="1" thickTop="1" x14ac:dyDescent="0.25">
      <c r="A42" s="18"/>
      <c r="B42" s="18"/>
      <c r="C42" s="18"/>
      <c r="D42" s="18"/>
      <c r="E42" s="18"/>
      <c r="F42" s="18"/>
      <c r="G42" s="18"/>
      <c r="H42" s="18"/>
      <c r="I42" s="51"/>
      <c r="J42" s="51"/>
      <c r="K42" s="51"/>
      <c r="L42" s="51"/>
      <c r="O42" s="12"/>
      <c r="P42" s="9"/>
      <c r="Q42" s="45"/>
    </row>
    <row r="43" spans="1:17" ht="14.45" customHeight="1" x14ac:dyDescent="0.25">
      <c r="A43" s="10"/>
      <c r="B43" s="10"/>
      <c r="C43" s="10"/>
      <c r="D43" s="10"/>
      <c r="E43" s="10"/>
      <c r="F43" s="10"/>
      <c r="G43" s="10"/>
      <c r="H43" s="10"/>
      <c r="I43" s="53" t="s">
        <v>57</v>
      </c>
      <c r="J43" s="53"/>
      <c r="K43" s="53"/>
      <c r="L43" s="53"/>
      <c r="M43" s="57">
        <f>SUM(M39:N40)</f>
        <v>644.2645</v>
      </c>
      <c r="N43" s="57"/>
      <c r="O43" s="9"/>
      <c r="P43" s="9"/>
      <c r="Q43" s="45"/>
    </row>
    <row r="44" spans="1:17" ht="14.45" customHeigh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9"/>
      <c r="O44" s="9"/>
      <c r="P44" s="9"/>
      <c r="Q44" s="45"/>
    </row>
    <row r="45" spans="1:17" ht="14.45" customHeigh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9"/>
      <c r="O45" s="9"/>
      <c r="P45" s="9"/>
      <c r="Q45" s="45"/>
    </row>
    <row r="46" spans="1:17" ht="14.45" customHeight="1" x14ac:dyDescent="0.25">
      <c r="A46" s="10"/>
      <c r="B46" s="10"/>
      <c r="C46" s="10"/>
      <c r="M46" s="10"/>
      <c r="N46" s="9"/>
      <c r="O46" s="9"/>
      <c r="P46" s="9"/>
      <c r="Q46" s="45"/>
    </row>
    <row r="47" spans="1:17" ht="14.45" customHeight="1" x14ac:dyDescent="0.25">
      <c r="A47" s="10"/>
      <c r="B47" s="10"/>
      <c r="C47" s="10"/>
      <c r="M47" s="10"/>
      <c r="N47" s="9"/>
      <c r="O47" s="9"/>
      <c r="P47" s="9"/>
      <c r="Q47" s="45"/>
    </row>
    <row r="48" spans="1:17" ht="14.45" customHeight="1" x14ac:dyDescent="0.25">
      <c r="A48" s="10"/>
      <c r="B48" s="10"/>
      <c r="C48" s="10"/>
      <c r="M48" s="10"/>
      <c r="N48" s="9"/>
      <c r="O48" s="9"/>
      <c r="P48" s="9"/>
      <c r="Q48" s="45"/>
    </row>
    <row r="49" spans="1:17" ht="14.45" customHeight="1" x14ac:dyDescent="0.25">
      <c r="A49" s="10"/>
      <c r="B49" s="10"/>
      <c r="C49" s="10"/>
      <c r="D49" s="38"/>
      <c r="E49" s="38"/>
      <c r="F49" s="38"/>
      <c r="G49" s="38"/>
      <c r="H49" s="38"/>
      <c r="I49" s="38"/>
      <c r="J49" s="38"/>
      <c r="K49" s="38"/>
      <c r="L49" s="38"/>
      <c r="M49" s="10"/>
      <c r="N49" s="10"/>
      <c r="O49" s="10"/>
      <c r="P49" s="10"/>
      <c r="Q49" s="45"/>
    </row>
    <row r="50" spans="1:17" ht="14.45" customHeight="1" x14ac:dyDescent="0.25">
      <c r="A50" s="10"/>
      <c r="B50" s="10"/>
      <c r="C50" s="10"/>
      <c r="D50" s="52"/>
      <c r="E50" s="52"/>
      <c r="F50" s="52"/>
      <c r="G50" s="52"/>
      <c r="H50" s="52"/>
      <c r="I50" s="52"/>
      <c r="J50" s="52"/>
      <c r="K50" s="52"/>
      <c r="L50" s="52"/>
      <c r="M50" s="10"/>
      <c r="N50" s="9"/>
      <c r="O50" s="9"/>
      <c r="P50" s="9"/>
      <c r="Q50" s="45"/>
    </row>
    <row r="51" spans="1:17" ht="14.45" customHeight="1" x14ac:dyDescent="0.25">
      <c r="A51" s="10"/>
      <c r="B51" s="10"/>
      <c r="C51" s="10"/>
      <c r="D51" s="52"/>
      <c r="E51" s="52"/>
      <c r="F51" s="52"/>
      <c r="G51" s="52"/>
      <c r="H51" s="52"/>
      <c r="I51" s="52"/>
      <c r="J51" s="52"/>
      <c r="K51" s="52"/>
      <c r="L51" s="52"/>
      <c r="M51" s="10"/>
      <c r="N51" s="9"/>
      <c r="O51" s="9"/>
      <c r="P51" s="9"/>
      <c r="Q51" s="45"/>
    </row>
    <row r="52" spans="1:17" ht="14.45" customHeight="1" x14ac:dyDescent="0.25">
      <c r="A52" s="10"/>
      <c r="B52" s="10"/>
      <c r="C52" s="10"/>
      <c r="D52" s="52"/>
      <c r="E52" s="52"/>
      <c r="F52" s="52"/>
      <c r="G52" s="52"/>
      <c r="H52" s="52"/>
      <c r="I52" s="52"/>
      <c r="J52" s="52"/>
      <c r="K52" s="52"/>
      <c r="L52" s="52"/>
      <c r="M52" s="10"/>
      <c r="N52" s="9"/>
      <c r="O52" s="9"/>
      <c r="P52" s="9"/>
      <c r="Q52" s="45"/>
    </row>
    <row r="53" spans="1:17" ht="14.45" customHeight="1" x14ac:dyDescent="0.25">
      <c r="A53" s="10"/>
      <c r="B53" s="10"/>
      <c r="C53" s="10"/>
      <c r="D53" s="52"/>
      <c r="E53" s="52"/>
      <c r="F53" s="52"/>
      <c r="G53" s="52"/>
      <c r="H53" s="52"/>
      <c r="I53" s="52"/>
      <c r="J53" s="52"/>
      <c r="K53" s="52"/>
      <c r="L53" s="52"/>
      <c r="M53" s="10"/>
      <c r="N53" s="9"/>
      <c r="O53" s="9"/>
      <c r="P53" s="9"/>
      <c r="Q53" s="45"/>
    </row>
    <row r="54" spans="1:17" ht="14.45" customHeigh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9"/>
      <c r="O54" s="9"/>
      <c r="P54" s="9"/>
      <c r="Q54" s="45"/>
    </row>
    <row r="55" spans="1:17" ht="14.45" customHeigh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9"/>
      <c r="O55" s="9"/>
      <c r="P55" s="9"/>
      <c r="Q55" s="45"/>
    </row>
    <row r="56" spans="1:17" ht="14.45" customHeight="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45"/>
    </row>
    <row r="57" spans="1:17" ht="14.45" customHeight="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45"/>
    </row>
    <row r="58" spans="1:17" ht="14.45" customHeight="1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45"/>
    </row>
    <row r="59" spans="1:17" ht="14.45" customHeight="1" thickBot="1" x14ac:dyDescent="0.3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7"/>
    </row>
    <row r="60" spans="1:17" ht="14.45" customHeight="1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1:17" ht="14.45" customHeight="1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</row>
    <row r="62" spans="1:17" ht="14.45" customHeight="1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</row>
    <row r="63" spans="1:17" ht="14.45" customHeight="1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</row>
    <row r="64" spans="1:17" ht="14.45" customHeight="1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</row>
    <row r="65" spans="1:17" ht="14.45" customHeight="1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</row>
    <row r="66" spans="1:17" ht="14.45" customHeight="1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</row>
    <row r="67" spans="1:17" ht="14.45" customHeight="1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</row>
    <row r="68" spans="1:17" ht="14.45" customHeight="1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</row>
    <row r="69" spans="1:17" ht="14.45" customHeight="1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</row>
    <row r="70" spans="1:17" ht="14.45" customHeight="1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</row>
    <row r="71" spans="1:17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</row>
    <row r="72" spans="1:17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</row>
    <row r="73" spans="1:17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</row>
    <row r="74" spans="1:17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</row>
    <row r="75" spans="1:17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</row>
    <row r="76" spans="1:17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</row>
    <row r="77" spans="1:17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</row>
    <row r="78" spans="1:17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</row>
    <row r="79" spans="1:17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</row>
    <row r="80" spans="1:17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</row>
    <row r="81" spans="1:17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</row>
  </sheetData>
  <mergeCells count="105">
    <mergeCell ref="J12:K12"/>
    <mergeCell ref="J1:K1"/>
    <mergeCell ref="J2:K2"/>
    <mergeCell ref="J3:K3"/>
    <mergeCell ref="J19:K19"/>
    <mergeCell ref="J20:K20"/>
    <mergeCell ref="J21:K21"/>
    <mergeCell ref="A22:H22"/>
    <mergeCell ref="J22:K22"/>
    <mergeCell ref="J23:K23"/>
    <mergeCell ref="J13:K13"/>
    <mergeCell ref="J14:K14"/>
    <mergeCell ref="J15:O15"/>
    <mergeCell ref="J16:O16"/>
    <mergeCell ref="J17:O17"/>
    <mergeCell ref="J18:O18"/>
    <mergeCell ref="A24:B24"/>
    <mergeCell ref="C24:F24"/>
    <mergeCell ref="G24:I24"/>
    <mergeCell ref="J24:K24"/>
    <mergeCell ref="L24:M24"/>
    <mergeCell ref="A25:B25"/>
    <mergeCell ref="C25:F25"/>
    <mergeCell ref="G25:I25"/>
    <mergeCell ref="J25:K25"/>
    <mergeCell ref="L25:N25"/>
    <mergeCell ref="A26:B26"/>
    <mergeCell ref="C26:F26"/>
    <mergeCell ref="G26:I26"/>
    <mergeCell ref="J26:K26"/>
    <mergeCell ref="L26:N26"/>
    <mergeCell ref="A27:B27"/>
    <mergeCell ref="C27:F27"/>
    <mergeCell ref="G27:I27"/>
    <mergeCell ref="J27:K27"/>
    <mergeCell ref="L27:N27"/>
    <mergeCell ref="A28:B28"/>
    <mergeCell ref="C28:F28"/>
    <mergeCell ref="G28:I28"/>
    <mergeCell ref="J28:K28"/>
    <mergeCell ref="L28:N28"/>
    <mergeCell ref="A29:B29"/>
    <mergeCell ref="C29:F29"/>
    <mergeCell ref="G29:I29"/>
    <mergeCell ref="J29:K29"/>
    <mergeCell ref="L29:N29"/>
    <mergeCell ref="A30:B30"/>
    <mergeCell ref="C30:F30"/>
    <mergeCell ref="G30:I30"/>
    <mergeCell ref="J30:K30"/>
    <mergeCell ref="L30:N30"/>
    <mergeCell ref="A31:B31"/>
    <mergeCell ref="C31:F31"/>
    <mergeCell ref="G31:I31"/>
    <mergeCell ref="J31:K31"/>
    <mergeCell ref="L31:N31"/>
    <mergeCell ref="A32:B32"/>
    <mergeCell ref="C32:F32"/>
    <mergeCell ref="G32:I32"/>
    <mergeCell ref="J32:K32"/>
    <mergeCell ref="L32:N32"/>
    <mergeCell ref="A33:B33"/>
    <mergeCell ref="C33:F33"/>
    <mergeCell ref="G33:I33"/>
    <mergeCell ref="J33:K33"/>
    <mergeCell ref="L33:N33"/>
    <mergeCell ref="A37:B37"/>
    <mergeCell ref="C37:F37"/>
    <mergeCell ref="G37:I37"/>
    <mergeCell ref="J37:K37"/>
    <mergeCell ref="L37:N37"/>
    <mergeCell ref="A34:B34"/>
    <mergeCell ref="C34:F34"/>
    <mergeCell ref="G34:I34"/>
    <mergeCell ref="J34:K34"/>
    <mergeCell ref="L34:N34"/>
    <mergeCell ref="A35:B35"/>
    <mergeCell ref="C35:F35"/>
    <mergeCell ref="G35:I35"/>
    <mergeCell ref="J35:K35"/>
    <mergeCell ref="L35:N35"/>
    <mergeCell ref="D50:L50"/>
    <mergeCell ref="D51:L51"/>
    <mergeCell ref="D52:L52"/>
    <mergeCell ref="D53:L53"/>
    <mergeCell ref="B4:O11"/>
    <mergeCell ref="M43:N43"/>
    <mergeCell ref="I43:L43"/>
    <mergeCell ref="I42:L42"/>
    <mergeCell ref="M41:N41"/>
    <mergeCell ref="I41:L41"/>
    <mergeCell ref="J40:L40"/>
    <mergeCell ref="M40:N40"/>
    <mergeCell ref="A38:B38"/>
    <mergeCell ref="C38:F38"/>
    <mergeCell ref="G38:I38"/>
    <mergeCell ref="J38:K38"/>
    <mergeCell ref="L38:N38"/>
    <mergeCell ref="I39:L39"/>
    <mergeCell ref="M39:N39"/>
    <mergeCell ref="A36:B36"/>
    <mergeCell ref="C36:F36"/>
    <mergeCell ref="G36:I36"/>
    <mergeCell ref="J36:K36"/>
    <mergeCell ref="L36:N36"/>
  </mergeCells>
  <dataValidations count="1">
    <dataValidation type="whole" operator="greaterThan" allowBlank="1" showInputMessage="1" showErrorMessage="1" sqref="Q25" xr:uid="{086D0B7E-D541-426A-B563-0D9AE4D051AA}">
      <formula1>0</formula1>
    </dataValidation>
  </dataValidations>
  <pageMargins left="0.23622047244094491" right="0.23622047244094491" top="0.74803149606299213" bottom="0.74803149606299213" header="0.31496062992125984" footer="0.31496062992125984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oto_Factuurgegevens">
                <anchor>
                  <from>
                    <xdr:col>19</xdr:col>
                    <xdr:colOff>47625</xdr:colOff>
                    <xdr:row>1</xdr:row>
                    <xdr:rowOff>19050</xdr:rowOff>
                  </from>
                  <to>
                    <xdr:col>22</xdr:col>
                    <xdr:colOff>47625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Print_Copy">
                <anchor>
                  <from>
                    <xdr:col>19</xdr:col>
                    <xdr:colOff>57150</xdr:colOff>
                    <xdr:row>5</xdr:row>
                    <xdr:rowOff>171450</xdr:rowOff>
                  </from>
                  <to>
                    <xdr:col>22</xdr:col>
                    <xdr:colOff>57150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goto_Knoppen">
                <anchor>
                  <from>
                    <xdr:col>19</xdr:col>
                    <xdr:colOff>38100</xdr:colOff>
                    <xdr:row>11</xdr:row>
                    <xdr:rowOff>19050</xdr:rowOff>
                  </from>
                  <to>
                    <xdr:col>22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Finish_Invoice">
                <anchor>
                  <from>
                    <xdr:col>23</xdr:col>
                    <xdr:colOff>47625</xdr:colOff>
                    <xdr:row>1</xdr:row>
                    <xdr:rowOff>19050</xdr:rowOff>
                  </from>
                  <to>
                    <xdr:col>26</xdr:col>
                    <xdr:colOff>47625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5BF2FE-93C6-43B7-BEFC-2292402FC2CF}">
          <x14:formula1>
            <xm:f>Producten!$B$3:$B$15</xm:f>
          </x14:formula1>
          <xm:sqref>R25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18B70-DC64-4C2F-9861-83081C509309}">
  <sheetPr codeName="Sheet5"/>
  <dimension ref="A1:N26"/>
  <sheetViews>
    <sheetView workbookViewId="0">
      <selection activeCell="C3" sqref="C3"/>
    </sheetView>
  </sheetViews>
  <sheetFormatPr defaultRowHeight="15" x14ac:dyDescent="0.25"/>
  <cols>
    <col min="1" max="1" width="3.42578125" customWidth="1"/>
    <col min="2" max="2" width="23.28515625" customWidth="1"/>
    <col min="3" max="3" width="28" customWidth="1"/>
    <col min="4" max="4" width="13.28515625" customWidth="1"/>
    <col min="5" max="5" width="14.42578125" customWidth="1"/>
    <col min="6" max="6" width="7.85546875" customWidth="1"/>
  </cols>
  <sheetData>
    <row r="1" spans="1:14" x14ac:dyDescent="0.25">
      <c r="A1" s="34"/>
      <c r="B1" s="35"/>
      <c r="C1" s="35"/>
      <c r="D1" s="35"/>
      <c r="E1" s="36"/>
      <c r="F1" s="13"/>
      <c r="G1" s="13"/>
      <c r="H1" s="13"/>
      <c r="I1" s="13"/>
      <c r="J1" s="13"/>
      <c r="K1" s="13"/>
      <c r="L1" s="13"/>
      <c r="M1" s="13"/>
      <c r="N1" s="13"/>
    </row>
    <row r="2" spans="1:14" x14ac:dyDescent="0.25">
      <c r="A2" s="37"/>
      <c r="B2" s="38"/>
      <c r="C2" s="38"/>
      <c r="D2" s="38"/>
      <c r="E2" s="39"/>
      <c r="F2" s="13"/>
      <c r="G2" s="13"/>
      <c r="H2" s="13"/>
      <c r="I2" s="13"/>
      <c r="J2" s="13"/>
      <c r="K2" s="13"/>
      <c r="L2" s="13"/>
      <c r="M2" s="13"/>
      <c r="N2" s="13"/>
    </row>
    <row r="3" spans="1:14" x14ac:dyDescent="0.25">
      <c r="A3" s="37"/>
      <c r="B3" s="40" t="s">
        <v>14</v>
      </c>
      <c r="C3" s="30"/>
      <c r="D3" s="38"/>
      <c r="E3" s="39"/>
      <c r="F3" s="13"/>
      <c r="G3" s="13"/>
      <c r="H3" s="13"/>
      <c r="I3" s="13"/>
      <c r="J3" s="13"/>
      <c r="K3" s="13"/>
      <c r="L3" s="13"/>
      <c r="M3" s="13"/>
      <c r="N3" s="13"/>
    </row>
    <row r="4" spans="1:14" x14ac:dyDescent="0.25">
      <c r="A4" s="37"/>
      <c r="B4" s="40" t="s">
        <v>13</v>
      </c>
      <c r="C4" s="30"/>
      <c r="D4" s="38"/>
      <c r="E4" s="39"/>
      <c r="F4" s="13"/>
      <c r="G4" s="13"/>
      <c r="H4" s="13"/>
      <c r="I4" s="13"/>
      <c r="J4" s="13"/>
      <c r="K4" s="13"/>
      <c r="L4" s="13"/>
      <c r="M4" s="13"/>
      <c r="N4" s="13"/>
    </row>
    <row r="5" spans="1:14" x14ac:dyDescent="0.25">
      <c r="A5" s="37"/>
      <c r="B5" s="40" t="s">
        <v>17</v>
      </c>
      <c r="C5" s="30"/>
      <c r="D5" s="38"/>
      <c r="E5" s="39"/>
      <c r="F5" s="13"/>
      <c r="G5" s="13"/>
      <c r="H5" s="13"/>
      <c r="I5" s="13"/>
      <c r="J5" s="13"/>
      <c r="K5" s="13"/>
      <c r="L5" s="13"/>
      <c r="M5" s="13"/>
      <c r="N5" s="13"/>
    </row>
    <row r="6" spans="1:14" x14ac:dyDescent="0.25">
      <c r="A6" s="37"/>
      <c r="B6" s="40" t="s">
        <v>15</v>
      </c>
      <c r="C6" s="30"/>
      <c r="D6" s="38"/>
      <c r="E6" s="39"/>
      <c r="F6" s="13"/>
      <c r="G6" s="13"/>
      <c r="H6" s="13"/>
      <c r="I6" s="13"/>
      <c r="J6" s="13"/>
      <c r="K6" s="13"/>
      <c r="L6" s="13"/>
      <c r="M6" s="13"/>
      <c r="N6" s="13"/>
    </row>
    <row r="7" spans="1:14" x14ac:dyDescent="0.25">
      <c r="A7" s="37"/>
      <c r="B7" s="40" t="s">
        <v>16</v>
      </c>
      <c r="C7" s="30"/>
      <c r="D7" s="38"/>
      <c r="E7" s="39"/>
      <c r="F7" s="13"/>
      <c r="G7" s="13"/>
      <c r="H7" s="13"/>
      <c r="I7" s="13"/>
      <c r="J7" s="13"/>
      <c r="K7" s="13"/>
      <c r="L7" s="13"/>
      <c r="M7" s="13"/>
      <c r="N7" s="13"/>
    </row>
    <row r="8" spans="1:14" x14ac:dyDescent="0.25">
      <c r="A8" s="37"/>
      <c r="B8" s="40" t="s">
        <v>95</v>
      </c>
      <c r="C8" s="30"/>
      <c r="D8" s="38"/>
      <c r="E8" s="39"/>
      <c r="F8" s="13"/>
      <c r="G8" s="13"/>
      <c r="H8" s="13"/>
      <c r="I8" s="13"/>
      <c r="J8" s="13"/>
      <c r="K8" s="13"/>
      <c r="L8" s="13"/>
      <c r="M8" s="13"/>
      <c r="N8" s="13"/>
    </row>
    <row r="9" spans="1:14" x14ac:dyDescent="0.25">
      <c r="A9" s="37"/>
      <c r="B9" s="38"/>
      <c r="C9" s="38"/>
      <c r="D9" s="38"/>
      <c r="E9" s="39"/>
      <c r="F9" s="13"/>
      <c r="G9" s="13"/>
      <c r="H9" s="13"/>
      <c r="I9" s="13"/>
      <c r="J9" s="13"/>
      <c r="K9" s="13"/>
      <c r="L9" s="13"/>
      <c r="M9" s="13"/>
      <c r="N9" s="13"/>
    </row>
    <row r="10" spans="1:14" x14ac:dyDescent="0.25">
      <c r="A10" s="37"/>
      <c r="B10" s="38"/>
      <c r="C10" s="38"/>
      <c r="D10" s="38"/>
      <c r="E10" s="39"/>
      <c r="F10" s="13"/>
      <c r="G10" s="13"/>
      <c r="H10" s="13"/>
      <c r="I10" s="13"/>
      <c r="J10" s="13"/>
      <c r="K10" s="13"/>
      <c r="L10" s="13"/>
      <c r="M10" s="13"/>
      <c r="N10" s="13"/>
    </row>
    <row r="11" spans="1:14" x14ac:dyDescent="0.25">
      <c r="A11" s="37"/>
      <c r="B11" s="38"/>
      <c r="C11" s="38"/>
      <c r="D11" s="38"/>
      <c r="E11" s="39"/>
      <c r="F11" s="13"/>
      <c r="G11" s="13"/>
      <c r="H11" s="13"/>
      <c r="I11" s="13"/>
      <c r="J11" s="13"/>
      <c r="K11" s="13"/>
      <c r="L11" s="13"/>
      <c r="M11" s="13"/>
      <c r="N11" s="13"/>
    </row>
    <row r="12" spans="1:14" x14ac:dyDescent="0.25">
      <c r="A12" s="37"/>
      <c r="B12" s="38"/>
      <c r="C12" s="38"/>
      <c r="D12" s="38"/>
      <c r="E12" s="39"/>
      <c r="F12" s="13"/>
      <c r="G12" s="13"/>
      <c r="H12" s="13"/>
      <c r="I12" s="13"/>
      <c r="J12" s="13"/>
      <c r="K12" s="13"/>
      <c r="L12" s="13"/>
      <c r="M12" s="13"/>
      <c r="N12" s="13"/>
    </row>
    <row r="13" spans="1:14" x14ac:dyDescent="0.25">
      <c r="A13" s="37"/>
      <c r="B13" s="38"/>
      <c r="C13" s="38"/>
      <c r="D13" s="38"/>
      <c r="E13" s="39"/>
      <c r="F13" s="13"/>
      <c r="G13" s="13"/>
      <c r="H13" s="13"/>
      <c r="I13" s="13"/>
      <c r="J13" s="13"/>
      <c r="K13" s="13"/>
      <c r="L13" s="13"/>
      <c r="M13" s="13"/>
      <c r="N13" s="13"/>
    </row>
    <row r="14" spans="1:14" x14ac:dyDescent="0.25">
      <c r="A14" s="37"/>
      <c r="B14" s="38"/>
      <c r="C14" s="38"/>
      <c r="D14" s="38"/>
      <c r="E14" s="39"/>
      <c r="F14" s="13"/>
      <c r="G14" s="13"/>
      <c r="H14" s="13"/>
      <c r="I14" s="13"/>
      <c r="J14" s="13"/>
      <c r="K14" s="13"/>
      <c r="L14" s="13"/>
      <c r="M14" s="13"/>
      <c r="N14" s="13"/>
    </row>
    <row r="15" spans="1:14" x14ac:dyDescent="0.25">
      <c r="A15" s="37"/>
      <c r="B15" s="38"/>
      <c r="C15" s="38"/>
      <c r="D15" s="38"/>
      <c r="E15" s="39"/>
      <c r="F15" s="13"/>
      <c r="G15" s="13"/>
      <c r="H15" s="13"/>
      <c r="I15" s="13"/>
      <c r="J15" s="13"/>
      <c r="K15" s="13"/>
      <c r="L15" s="13"/>
      <c r="M15" s="13"/>
      <c r="N15" s="13"/>
    </row>
    <row r="16" spans="1:14" x14ac:dyDescent="0.25">
      <c r="A16" s="37"/>
      <c r="B16" s="38"/>
      <c r="C16" s="38"/>
      <c r="D16" s="38"/>
      <c r="E16" s="39"/>
      <c r="F16" s="13"/>
      <c r="G16" s="13"/>
      <c r="H16" s="13"/>
      <c r="I16" s="13"/>
      <c r="J16" s="13"/>
      <c r="K16" s="13"/>
      <c r="L16" s="13"/>
      <c r="M16" s="13"/>
      <c r="N16" s="13"/>
    </row>
    <row r="17" spans="1:14" x14ac:dyDescent="0.25">
      <c r="A17" s="41"/>
      <c r="B17" s="42"/>
      <c r="C17" s="42"/>
      <c r="D17" s="42"/>
      <c r="E17" s="43"/>
      <c r="F17" s="13"/>
      <c r="G17" s="13"/>
      <c r="H17" s="13"/>
      <c r="I17" s="13"/>
      <c r="J17" s="13"/>
      <c r="K17" s="13"/>
      <c r="L17" s="13"/>
      <c r="M17" s="13"/>
      <c r="N17" s="13"/>
    </row>
    <row r="18" spans="1:14" x14ac:dyDescent="0.25">
      <c r="F18" s="13"/>
      <c r="G18" s="13"/>
      <c r="H18" s="13"/>
      <c r="I18" s="13"/>
      <c r="J18" s="13"/>
      <c r="K18" s="13"/>
      <c r="L18" s="13"/>
      <c r="M18" s="13"/>
      <c r="N18" s="13"/>
    </row>
    <row r="19" spans="1:14" x14ac:dyDescent="0.25">
      <c r="F19" s="13"/>
      <c r="G19" s="13"/>
      <c r="H19" s="13"/>
      <c r="I19" s="13"/>
      <c r="J19" s="13"/>
      <c r="K19" s="13"/>
      <c r="L19" s="13"/>
      <c r="M19" s="13"/>
      <c r="N19" s="13"/>
    </row>
    <row r="20" spans="1:14" x14ac:dyDescent="0.25">
      <c r="F20" s="13"/>
      <c r="G20" s="13"/>
      <c r="H20" s="13"/>
      <c r="I20" s="13"/>
      <c r="J20" s="13"/>
      <c r="K20" s="13"/>
      <c r="L20" s="13"/>
      <c r="M20" s="13"/>
      <c r="N20" s="13"/>
    </row>
    <row r="21" spans="1:14" x14ac:dyDescent="0.25">
      <c r="F21" s="13"/>
      <c r="G21" s="13"/>
      <c r="H21" s="13"/>
      <c r="I21" s="13"/>
      <c r="J21" s="13"/>
      <c r="K21" s="13"/>
      <c r="L21" s="13"/>
      <c r="M21" s="13"/>
      <c r="N21" s="13"/>
    </row>
    <row r="22" spans="1:14" x14ac:dyDescent="0.25">
      <c r="F22" s="13"/>
      <c r="G22" s="13"/>
      <c r="H22" s="13"/>
      <c r="I22" s="13"/>
      <c r="J22" s="13"/>
      <c r="K22" s="13"/>
      <c r="L22" s="13"/>
      <c r="M22" s="13"/>
      <c r="N22" s="13"/>
    </row>
    <row r="23" spans="1:14" x14ac:dyDescent="0.25">
      <c r="F23" s="13"/>
      <c r="G23" s="13"/>
      <c r="H23" s="13"/>
      <c r="I23" s="13"/>
      <c r="J23" s="13"/>
      <c r="K23" s="13"/>
      <c r="L23" s="13"/>
      <c r="M23" s="13"/>
      <c r="N23" s="13"/>
    </row>
    <row r="24" spans="1:14" x14ac:dyDescent="0.25">
      <c r="F24" s="13"/>
      <c r="G24" s="13"/>
      <c r="H24" s="13"/>
      <c r="I24" s="13"/>
      <c r="J24" s="13"/>
      <c r="K24" s="13"/>
      <c r="L24" s="13"/>
      <c r="M24" s="13"/>
      <c r="N24" s="13"/>
    </row>
    <row r="25" spans="1:14" x14ac:dyDescent="0.25">
      <c r="F25" s="13"/>
      <c r="G25" s="13"/>
      <c r="H25" s="13"/>
      <c r="I25" s="13"/>
      <c r="J25" s="13"/>
      <c r="K25" s="13"/>
      <c r="L25" s="13"/>
      <c r="M25" s="13"/>
      <c r="N25" s="13"/>
    </row>
    <row r="26" spans="1:14" x14ac:dyDescent="0.25">
      <c r="F26" s="13"/>
      <c r="G26" s="13"/>
      <c r="H26" s="13"/>
      <c r="I26" s="13"/>
      <c r="J26" s="13"/>
      <c r="K26" s="13"/>
      <c r="L26" s="13"/>
      <c r="M26" s="13"/>
      <c r="N26" s="13"/>
    </row>
  </sheetData>
  <phoneticPr fontId="1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NewClient">
                <anchor moveWithCells="1" sizeWithCells="1">
                  <from>
                    <xdr:col>6</xdr:col>
                    <xdr:colOff>19050</xdr:colOff>
                    <xdr:row>1</xdr:row>
                    <xdr:rowOff>161925</xdr:rowOff>
                  </from>
                  <to>
                    <xdr:col>9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elete_NewClient_form">
                <anchor>
                  <from>
                    <xdr:col>10</xdr:col>
                    <xdr:colOff>0</xdr:colOff>
                    <xdr:row>1</xdr:row>
                    <xdr:rowOff>171450</xdr:rowOff>
                  </from>
                  <to>
                    <xdr:col>12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goto_Knoppen">
                <anchor>
                  <from>
                    <xdr:col>6</xdr:col>
                    <xdr:colOff>19050</xdr:colOff>
                    <xdr:row>12</xdr:row>
                    <xdr:rowOff>19050</xdr:rowOff>
                  </from>
                  <to>
                    <xdr:col>9</xdr:col>
                    <xdr:colOff>19050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goto_Klantbestand">
                <anchor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9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ECED7-C16D-4F08-B072-51E1D6CCBEE9}">
  <sheetPr codeName="Sheet6"/>
  <dimension ref="A1:N79"/>
  <sheetViews>
    <sheetView tabSelected="1" zoomScale="145" zoomScaleNormal="145" workbookViewId="0">
      <selection activeCell="D18" sqref="D18"/>
    </sheetView>
  </sheetViews>
  <sheetFormatPr defaultRowHeight="15" x14ac:dyDescent="0.25"/>
  <cols>
    <col min="1" max="1" width="2.85546875" customWidth="1"/>
    <col min="2" max="2" width="31.28515625" customWidth="1"/>
    <col min="3" max="3" width="17.5703125" customWidth="1"/>
    <col min="4" max="4" width="20.5703125" customWidth="1"/>
    <col min="5" max="5" width="24.7109375" customWidth="1"/>
    <col min="6" max="6" width="10.7109375" customWidth="1"/>
    <col min="7" max="7" width="22.42578125" customWidth="1"/>
    <col min="8" max="8" width="30.7109375" customWidth="1"/>
    <col min="10" max="11" width="8.85546875" customWidth="1"/>
  </cols>
  <sheetData>
    <row r="1" spans="1:14" x14ac:dyDescent="0.25">
      <c r="A1" s="3"/>
      <c r="B1" s="2" t="s">
        <v>0</v>
      </c>
      <c r="C1" s="2" t="s">
        <v>12</v>
      </c>
      <c r="D1" s="2" t="s">
        <v>13</v>
      </c>
      <c r="E1" s="2" t="s">
        <v>1</v>
      </c>
      <c r="F1" s="2" t="s">
        <v>2</v>
      </c>
      <c r="G1" s="2" t="s">
        <v>3</v>
      </c>
      <c r="H1" s="2" t="s">
        <v>22</v>
      </c>
      <c r="J1" s="13"/>
      <c r="K1" s="13"/>
      <c r="L1" s="13"/>
      <c r="M1" s="13"/>
      <c r="N1" s="13"/>
    </row>
    <row r="2" spans="1:14" x14ac:dyDescent="0.25">
      <c r="A2" s="3"/>
      <c r="B2" s="2" t="str" cm="1">
        <f t="array" ref="B2">ExtractFirstLetter(C2)&amp;" "&amp;PROPER(D2)</f>
        <v>D Koops</v>
      </c>
      <c r="C2" t="s">
        <v>99</v>
      </c>
      <c r="D2" t="s">
        <v>100</v>
      </c>
      <c r="E2" t="s">
        <v>101</v>
      </c>
      <c r="F2" t="s">
        <v>102</v>
      </c>
      <c r="G2" t="s">
        <v>103</v>
      </c>
      <c r="H2" s="4" t="s">
        <v>104</v>
      </c>
      <c r="J2" s="13"/>
      <c r="K2" s="13"/>
      <c r="L2" s="13"/>
      <c r="M2" s="13"/>
      <c r="N2" s="13"/>
    </row>
    <row r="3" spans="1:14" x14ac:dyDescent="0.25">
      <c r="A3" s="3"/>
      <c r="B3" s="2" t="str" cm="1">
        <f t="array" ref="B3">ExtractFirstLetter(C3)&amp;" "&amp;PROPER(D3)</f>
        <v>J.A.M Geennen</v>
      </c>
      <c r="C3" t="s">
        <v>89</v>
      </c>
      <c r="D3" t="s">
        <v>90</v>
      </c>
      <c r="E3" t="s">
        <v>91</v>
      </c>
      <c r="F3" t="s">
        <v>92</v>
      </c>
      <c r="G3" t="s">
        <v>93</v>
      </c>
      <c r="H3" s="4" t="s">
        <v>94</v>
      </c>
      <c r="J3" s="13"/>
      <c r="K3" s="13"/>
      <c r="L3" s="13"/>
      <c r="M3" s="13"/>
      <c r="N3" s="13"/>
    </row>
    <row r="4" spans="1:14" x14ac:dyDescent="0.25">
      <c r="A4" s="3"/>
      <c r="B4" s="2" t="str" cm="1">
        <f t="array" ref="B4">ExtractFirstLetter(C4)&amp;" "&amp;PROPER(D4)</f>
        <v>J Dinggessen</v>
      </c>
      <c r="C4" t="s">
        <v>81</v>
      </c>
      <c r="D4" t="s">
        <v>82</v>
      </c>
      <c r="E4" t="s">
        <v>83</v>
      </c>
      <c r="F4" t="s">
        <v>84</v>
      </c>
      <c r="G4" t="s">
        <v>85</v>
      </c>
      <c r="H4" s="4" t="s">
        <v>86</v>
      </c>
      <c r="J4" s="13"/>
      <c r="K4" s="13"/>
      <c r="L4" s="13"/>
      <c r="M4" s="13"/>
      <c r="N4" s="13"/>
    </row>
    <row r="5" spans="1:14" x14ac:dyDescent="0.25">
      <c r="A5" s="3"/>
      <c r="B5" s="2" t="str" cm="1">
        <f t="array" ref="B5">ExtractFirstLetter(C5)&amp;" "&amp;PROPER(D5)</f>
        <v>J.K Janssen</v>
      </c>
      <c r="C5" t="s">
        <v>88</v>
      </c>
      <c r="D5" t="s">
        <v>41</v>
      </c>
      <c r="E5" t="s">
        <v>42</v>
      </c>
      <c r="F5" t="s">
        <v>43</v>
      </c>
      <c r="G5" t="s">
        <v>44</v>
      </c>
      <c r="H5" s="4" t="s">
        <v>45</v>
      </c>
      <c r="J5" s="13"/>
      <c r="K5" s="13"/>
      <c r="L5" s="13"/>
      <c r="M5" s="13"/>
      <c r="N5" s="13"/>
    </row>
    <row r="6" spans="1:14" x14ac:dyDescent="0.25">
      <c r="A6" s="3"/>
      <c r="B6" s="2" t="str" cm="1">
        <f t="array" ref="B6">ExtractFirstLetter(C6)&amp;" "&amp;PROPER(D6)</f>
        <v>M Koen</v>
      </c>
      <c r="C6" t="s">
        <v>19</v>
      </c>
      <c r="D6" t="s">
        <v>18</v>
      </c>
      <c r="E6" t="s">
        <v>20</v>
      </c>
      <c r="F6" t="s">
        <v>40</v>
      </c>
      <c r="G6" t="s">
        <v>21</v>
      </c>
      <c r="H6" s="4" t="s">
        <v>23</v>
      </c>
      <c r="J6" s="13"/>
      <c r="K6" s="13"/>
      <c r="L6" s="13"/>
      <c r="M6" s="13"/>
      <c r="N6" s="13"/>
    </row>
    <row r="7" spans="1:14" x14ac:dyDescent="0.25">
      <c r="A7" s="3"/>
      <c r="B7" s="2" t="str" cm="1">
        <f t="array" ref="B7">ExtractFirstLetter(C7)&amp;" "&amp;PROPER(D7)</f>
        <v>A Naas</v>
      </c>
      <c r="C7" t="s">
        <v>63</v>
      </c>
      <c r="D7" t="s">
        <v>64</v>
      </c>
      <c r="E7" t="s">
        <v>65</v>
      </c>
      <c r="F7" t="s">
        <v>66</v>
      </c>
      <c r="G7" t="s">
        <v>67</v>
      </c>
      <c r="H7" s="4" t="s">
        <v>68</v>
      </c>
      <c r="J7" s="13"/>
      <c r="K7" s="13"/>
      <c r="L7" s="13"/>
      <c r="M7" s="13"/>
      <c r="N7" s="13"/>
    </row>
    <row r="8" spans="1:14" x14ac:dyDescent="0.25">
      <c r="A8" s="3"/>
      <c r="B8" s="2" t="str" cm="1">
        <f t="array" ref="B8">ExtractFirstLetter(C8)&amp;" "&amp;PROPER(D8)</f>
        <v>T Tinus</v>
      </c>
      <c r="C8" t="s">
        <v>69</v>
      </c>
      <c r="D8" t="s">
        <v>70</v>
      </c>
      <c r="E8" t="s">
        <v>71</v>
      </c>
      <c r="F8" t="s">
        <v>72</v>
      </c>
      <c r="G8" t="s">
        <v>73</v>
      </c>
      <c r="H8" s="4" t="s">
        <v>74</v>
      </c>
      <c r="J8" s="13"/>
      <c r="K8" s="13"/>
      <c r="L8" s="13"/>
      <c r="M8" s="13"/>
      <c r="N8" s="13"/>
    </row>
    <row r="9" spans="1:14" x14ac:dyDescent="0.25">
      <c r="A9" s="3"/>
      <c r="B9" s="2" t="str" cm="1">
        <f t="array" ref="B9">ExtractFirstLetter(C9)&amp;" "&amp;PROPER(D9)</f>
        <v>E Verhoek</v>
      </c>
      <c r="C9" t="s">
        <v>75</v>
      </c>
      <c r="D9" t="s">
        <v>76</v>
      </c>
      <c r="E9" t="s">
        <v>77</v>
      </c>
      <c r="F9" t="s">
        <v>78</v>
      </c>
      <c r="G9" t="s">
        <v>79</v>
      </c>
      <c r="H9" s="4" t="s">
        <v>80</v>
      </c>
      <c r="J9" s="13"/>
      <c r="K9" s="13"/>
      <c r="L9" s="13"/>
      <c r="M9" s="13"/>
      <c r="N9" s="13"/>
    </row>
    <row r="10" spans="1:14" x14ac:dyDescent="0.25">
      <c r="A10" s="3"/>
      <c r="J10" s="13"/>
      <c r="K10" s="13"/>
      <c r="L10" s="13"/>
      <c r="M10" s="13"/>
      <c r="N10" s="13"/>
    </row>
    <row r="11" spans="1:14" x14ac:dyDescent="0.25">
      <c r="A11" s="3"/>
      <c r="J11" s="13"/>
      <c r="K11" s="13"/>
      <c r="L11" s="13"/>
      <c r="M11" s="13"/>
      <c r="N11" s="13"/>
    </row>
    <row r="12" spans="1:14" x14ac:dyDescent="0.25">
      <c r="A12" s="3"/>
      <c r="J12" s="13"/>
      <c r="K12" s="13"/>
      <c r="L12" s="13"/>
      <c r="M12" s="13"/>
      <c r="N12" s="13"/>
    </row>
    <row r="13" spans="1:14" x14ac:dyDescent="0.25">
      <c r="A13" s="3"/>
      <c r="J13" s="13"/>
      <c r="K13" s="13"/>
      <c r="L13" s="13"/>
      <c r="M13" s="13"/>
      <c r="N13" s="13"/>
    </row>
    <row r="14" spans="1:14" x14ac:dyDescent="0.25">
      <c r="A14" s="3"/>
      <c r="H14" s="4"/>
      <c r="J14" s="13"/>
      <c r="K14" s="13"/>
      <c r="L14" s="13"/>
      <c r="M14" s="13"/>
      <c r="N14" s="13"/>
    </row>
    <row r="15" spans="1:14" x14ac:dyDescent="0.25">
      <c r="A15" s="3"/>
      <c r="J15" s="13"/>
      <c r="K15" s="13"/>
      <c r="L15" s="13"/>
      <c r="M15" s="13"/>
      <c r="N15" s="13"/>
    </row>
    <row r="16" spans="1:14" x14ac:dyDescent="0.25">
      <c r="A16" s="3"/>
      <c r="C16" s="2"/>
      <c r="D16" s="2"/>
      <c r="E16" s="2"/>
      <c r="F16" s="2"/>
      <c r="G16" s="2"/>
      <c r="J16" s="13"/>
      <c r="K16" s="13"/>
      <c r="L16" s="13"/>
      <c r="M16" s="13"/>
      <c r="N16" s="13"/>
    </row>
    <row r="17" spans="1:14" x14ac:dyDescent="0.25">
      <c r="A17" s="3"/>
      <c r="J17" s="13"/>
      <c r="K17" s="13"/>
      <c r="L17" s="13"/>
      <c r="M17" s="13"/>
      <c r="N17" s="13"/>
    </row>
    <row r="18" spans="1:14" x14ac:dyDescent="0.25">
      <c r="A18" s="3"/>
      <c r="J18" s="13"/>
      <c r="K18" s="13"/>
      <c r="L18" s="13"/>
      <c r="M18" s="13"/>
      <c r="N18" s="13"/>
    </row>
    <row r="19" spans="1:14" x14ac:dyDescent="0.25">
      <c r="A19" s="3"/>
      <c r="C19" s="2"/>
      <c r="D19" s="2"/>
      <c r="E19" s="2"/>
      <c r="F19" s="2"/>
      <c r="G19" s="2"/>
    </row>
    <row r="20" spans="1:14" x14ac:dyDescent="0.25">
      <c r="A20" s="3"/>
    </row>
    <row r="21" spans="1:14" x14ac:dyDescent="0.25">
      <c r="A21" s="3"/>
    </row>
    <row r="22" spans="1:14" x14ac:dyDescent="0.25">
      <c r="A22" s="3"/>
      <c r="C22" s="2"/>
      <c r="D22" s="2"/>
      <c r="E22" s="2"/>
      <c r="F22" s="2"/>
      <c r="G22" s="2"/>
    </row>
    <row r="23" spans="1:14" x14ac:dyDescent="0.25">
      <c r="A23" s="3"/>
    </row>
    <row r="24" spans="1:14" x14ac:dyDescent="0.25">
      <c r="A24" s="3"/>
    </row>
    <row r="25" spans="1:14" x14ac:dyDescent="0.25">
      <c r="A25" s="3"/>
      <c r="C25" s="2"/>
      <c r="D25" s="2"/>
      <c r="E25" s="2"/>
      <c r="F25" s="2"/>
      <c r="G25" s="2"/>
    </row>
    <row r="26" spans="1:14" x14ac:dyDescent="0.25">
      <c r="A26" s="3"/>
    </row>
    <row r="27" spans="1:14" x14ac:dyDescent="0.25">
      <c r="A27" s="3"/>
    </row>
    <row r="28" spans="1:14" x14ac:dyDescent="0.25">
      <c r="A28" s="3"/>
      <c r="C28" s="2"/>
      <c r="D28" s="2"/>
      <c r="E28" s="2"/>
      <c r="F28" s="2"/>
      <c r="G28" s="2"/>
    </row>
    <row r="29" spans="1:14" x14ac:dyDescent="0.25">
      <c r="A29" s="3"/>
    </row>
    <row r="30" spans="1:14" x14ac:dyDescent="0.25">
      <c r="A30" s="3"/>
    </row>
    <row r="31" spans="1:14" x14ac:dyDescent="0.25">
      <c r="A31" s="3"/>
      <c r="C31" s="2"/>
      <c r="D31" s="2"/>
      <c r="E31" s="2"/>
      <c r="F31" s="2"/>
      <c r="G31" s="2"/>
    </row>
    <row r="32" spans="1:14" x14ac:dyDescent="0.25">
      <c r="A32" s="3"/>
    </row>
    <row r="33" spans="1:7" x14ac:dyDescent="0.25">
      <c r="A33" s="3"/>
    </row>
    <row r="34" spans="1:7" x14ac:dyDescent="0.25">
      <c r="A34" s="3"/>
      <c r="C34" s="2"/>
      <c r="D34" s="2"/>
      <c r="E34" s="2"/>
      <c r="F34" s="2"/>
      <c r="G34" s="2"/>
    </row>
    <row r="35" spans="1:7" x14ac:dyDescent="0.25">
      <c r="A35" s="3"/>
    </row>
    <row r="36" spans="1:7" x14ac:dyDescent="0.25">
      <c r="A36" s="3"/>
    </row>
    <row r="37" spans="1:7" x14ac:dyDescent="0.25">
      <c r="A37" s="3"/>
      <c r="C37" s="2"/>
      <c r="D37" s="2"/>
      <c r="E37" s="2"/>
      <c r="F37" s="2"/>
      <c r="G37" s="2"/>
    </row>
    <row r="38" spans="1:7" x14ac:dyDescent="0.25">
      <c r="A38" s="3"/>
    </row>
    <row r="39" spans="1:7" x14ac:dyDescent="0.25">
      <c r="A39" s="3"/>
    </row>
    <row r="40" spans="1:7" x14ac:dyDescent="0.25">
      <c r="A40" s="3"/>
      <c r="C40" s="2"/>
      <c r="D40" s="2"/>
      <c r="E40" s="2"/>
      <c r="F40" s="2"/>
      <c r="G40" s="2"/>
    </row>
    <row r="41" spans="1:7" x14ac:dyDescent="0.25">
      <c r="A41" s="3"/>
    </row>
    <row r="42" spans="1:7" x14ac:dyDescent="0.25">
      <c r="A42" s="3"/>
    </row>
    <row r="43" spans="1:7" x14ac:dyDescent="0.25">
      <c r="A43" s="3"/>
      <c r="C43" s="2"/>
      <c r="D43" s="2"/>
      <c r="E43" s="2"/>
      <c r="F43" s="2"/>
      <c r="G43" s="2"/>
    </row>
    <row r="44" spans="1:7" x14ac:dyDescent="0.25">
      <c r="A44" s="3"/>
    </row>
    <row r="45" spans="1:7" x14ac:dyDescent="0.25">
      <c r="A45" s="3"/>
    </row>
    <row r="46" spans="1:7" x14ac:dyDescent="0.25">
      <c r="A46" s="3"/>
      <c r="C46" s="2"/>
      <c r="D46" s="2"/>
      <c r="E46" s="2"/>
      <c r="F46" s="2"/>
      <c r="G46" s="2"/>
    </row>
    <row r="47" spans="1:7" x14ac:dyDescent="0.25">
      <c r="A47" s="3"/>
    </row>
    <row r="48" spans="1:7" x14ac:dyDescent="0.25">
      <c r="A48" s="3"/>
    </row>
    <row r="49" spans="1:7" x14ac:dyDescent="0.25">
      <c r="A49" s="3"/>
      <c r="C49" s="2"/>
      <c r="D49" s="2"/>
      <c r="E49" s="2"/>
      <c r="F49" s="2"/>
      <c r="G49" s="2"/>
    </row>
    <row r="50" spans="1:7" x14ac:dyDescent="0.25">
      <c r="A50" s="3"/>
    </row>
    <row r="51" spans="1:7" x14ac:dyDescent="0.25">
      <c r="A51" s="3"/>
    </row>
    <row r="52" spans="1:7" x14ac:dyDescent="0.25">
      <c r="A52" s="3"/>
      <c r="C52" s="2"/>
      <c r="D52" s="2"/>
      <c r="E52" s="2"/>
      <c r="F52" s="2"/>
      <c r="G52" s="2"/>
    </row>
    <row r="53" spans="1:7" x14ac:dyDescent="0.25">
      <c r="A53" s="3"/>
    </row>
    <row r="54" spans="1:7" x14ac:dyDescent="0.25">
      <c r="A54" s="3"/>
    </row>
    <row r="55" spans="1:7" x14ac:dyDescent="0.25">
      <c r="A55" s="3"/>
      <c r="C55" s="2"/>
      <c r="D55" s="2"/>
      <c r="E55" s="2"/>
      <c r="F55" s="2"/>
      <c r="G55" s="2"/>
    </row>
    <row r="56" spans="1:7" x14ac:dyDescent="0.25">
      <c r="A56" s="3"/>
    </row>
    <row r="57" spans="1:7" x14ac:dyDescent="0.25">
      <c r="A57" s="3"/>
    </row>
    <row r="58" spans="1:7" x14ac:dyDescent="0.25">
      <c r="A58" s="3"/>
      <c r="C58" s="2"/>
      <c r="D58" s="2"/>
      <c r="E58" s="2"/>
      <c r="F58" s="2"/>
      <c r="G58" s="2"/>
    </row>
    <row r="59" spans="1:7" x14ac:dyDescent="0.25">
      <c r="A59" s="3"/>
    </row>
    <row r="60" spans="1:7" x14ac:dyDescent="0.25">
      <c r="A60" s="3"/>
    </row>
    <row r="61" spans="1:7" x14ac:dyDescent="0.25">
      <c r="A61" s="3"/>
      <c r="C61" s="2"/>
      <c r="D61" s="2"/>
      <c r="E61" s="2"/>
      <c r="F61" s="2"/>
      <c r="G61" s="2"/>
    </row>
    <row r="62" spans="1:7" x14ac:dyDescent="0.25">
      <c r="A62" s="3"/>
    </row>
    <row r="63" spans="1:7" x14ac:dyDescent="0.25">
      <c r="A63" s="3"/>
    </row>
    <row r="64" spans="1:7" x14ac:dyDescent="0.25">
      <c r="A64" s="3"/>
      <c r="C64" s="2"/>
      <c r="D64" s="2"/>
      <c r="E64" s="2"/>
      <c r="F64" s="2"/>
      <c r="G64" s="2"/>
    </row>
    <row r="65" spans="1:7" x14ac:dyDescent="0.25">
      <c r="A65" s="3"/>
    </row>
    <row r="66" spans="1:7" x14ac:dyDescent="0.25">
      <c r="A66" s="3"/>
    </row>
    <row r="67" spans="1:7" x14ac:dyDescent="0.25">
      <c r="A67" s="3"/>
      <c r="C67" s="2"/>
      <c r="D67" s="2"/>
      <c r="E67" s="2"/>
      <c r="F67" s="2"/>
      <c r="G67" s="2"/>
    </row>
    <row r="68" spans="1:7" x14ac:dyDescent="0.25">
      <c r="A68" s="3"/>
    </row>
    <row r="69" spans="1:7" x14ac:dyDescent="0.25">
      <c r="A69" s="3"/>
    </row>
    <row r="70" spans="1:7" x14ac:dyDescent="0.25">
      <c r="A70" s="3"/>
      <c r="C70" s="2"/>
      <c r="D70" s="2"/>
      <c r="E70" s="2"/>
      <c r="F70" s="2"/>
      <c r="G70" s="2"/>
    </row>
    <row r="71" spans="1:7" x14ac:dyDescent="0.25">
      <c r="A71" s="3"/>
    </row>
    <row r="72" spans="1:7" x14ac:dyDescent="0.25">
      <c r="A72" s="3"/>
    </row>
    <row r="73" spans="1:7" x14ac:dyDescent="0.25">
      <c r="A73" s="3"/>
      <c r="C73" s="2"/>
      <c r="D73" s="2"/>
      <c r="E73" s="2"/>
      <c r="F73" s="2"/>
      <c r="G73" s="2"/>
    </row>
    <row r="76" spans="1:7" x14ac:dyDescent="0.25">
      <c r="C76" s="2"/>
      <c r="D76" s="2"/>
      <c r="E76" s="2"/>
      <c r="F76" s="2"/>
      <c r="G76" s="2"/>
    </row>
    <row r="79" spans="1:7" x14ac:dyDescent="0.25">
      <c r="C79" s="2"/>
      <c r="D79" s="2"/>
      <c r="E79" s="2"/>
      <c r="F79" s="2"/>
      <c r="G79" s="2"/>
    </row>
  </sheetData>
  <hyperlinks>
    <hyperlink ref="H6" r:id="rId1" xr:uid="{1E230F90-2C7F-4D95-99A1-088D939A9479}"/>
    <hyperlink ref="H5" r:id="rId2" xr:uid="{7F4CF9A1-3490-4662-B632-15D699A4395F}"/>
    <hyperlink ref="H7" r:id="rId3" xr:uid="{FC8B5D87-ABBD-41B1-A4B1-6C7839B76B90}"/>
    <hyperlink ref="H8" r:id="rId4" xr:uid="{1D50425B-2558-479E-AF2D-2D6EFE3ABC7C}"/>
    <hyperlink ref="H9" r:id="rId5" xr:uid="{7C6D9467-175F-4D08-96F3-823623B5B1EB}"/>
    <hyperlink ref="H4" r:id="rId6" xr:uid="{63D4FFDE-A955-4F62-AE02-7AADB4DA12B4}"/>
    <hyperlink ref="H3" r:id="rId7" xr:uid="{BB62DD25-726D-4B77-86C8-55AA2400619C}"/>
    <hyperlink ref="H2" r:id="rId8" xr:uid="{FFF88BD7-984A-4248-9AC0-E79E89C89634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12" name="Button 3">
              <controlPr defaultSize="0" print="0" autoFill="0" autoPict="0" macro="[0]!goto_Knoppen">
                <anchor>
                  <from>
                    <xdr:col>9</xdr:col>
                    <xdr:colOff>609600</xdr:colOff>
                    <xdr:row>2</xdr:row>
                    <xdr:rowOff>19050</xdr:rowOff>
                  </from>
                  <to>
                    <xdr:col>12</xdr:col>
                    <xdr:colOff>609600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13" name="Button 4">
              <controlPr defaultSize="0" print="0" autoFill="0" autoPict="0" macro="[0]!goto_NieuweKlant">
                <anchor>
                  <from>
                    <xdr:col>9</xdr:col>
                    <xdr:colOff>609600</xdr:colOff>
                    <xdr:row>7</xdr:row>
                    <xdr:rowOff>19050</xdr:rowOff>
                  </from>
                  <to>
                    <xdr:col>12</xdr:col>
                    <xdr:colOff>609600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C4E2C-95D5-4D6D-A712-000AF3713967}">
  <sheetPr codeName="Sheet7"/>
  <dimension ref="B1:J15"/>
  <sheetViews>
    <sheetView workbookViewId="0">
      <selection activeCell="O14" sqref="O14"/>
    </sheetView>
  </sheetViews>
  <sheetFormatPr defaultRowHeight="15" x14ac:dyDescent="0.25"/>
  <cols>
    <col min="2" max="2" width="21" customWidth="1"/>
    <col min="3" max="3" width="11.28515625" customWidth="1"/>
    <col min="4" max="4" width="16.140625" customWidth="1"/>
  </cols>
  <sheetData>
    <row r="1" spans="2:10" x14ac:dyDescent="0.25">
      <c r="F1" s="13"/>
      <c r="G1" s="13"/>
      <c r="H1" s="13"/>
      <c r="I1" s="13"/>
      <c r="J1" s="13"/>
    </row>
    <row r="2" spans="2:10" x14ac:dyDescent="0.25">
      <c r="B2" t="s">
        <v>24</v>
      </c>
      <c r="C2" t="s">
        <v>25</v>
      </c>
      <c r="D2" t="s">
        <v>26</v>
      </c>
      <c r="F2" s="13"/>
      <c r="G2" s="13"/>
      <c r="H2" s="13"/>
      <c r="I2" s="13"/>
      <c r="J2" s="13"/>
    </row>
    <row r="3" spans="2:10" x14ac:dyDescent="0.25">
      <c r="B3" s="6"/>
      <c r="C3" s="7"/>
      <c r="D3" s="8"/>
      <c r="F3" s="13"/>
      <c r="G3" s="13"/>
      <c r="H3" s="44"/>
      <c r="I3" s="13"/>
      <c r="J3" s="13"/>
    </row>
    <row r="4" spans="2:10" x14ac:dyDescent="0.25">
      <c r="B4" t="s">
        <v>37</v>
      </c>
      <c r="C4" s="1">
        <v>219.45</v>
      </c>
      <c r="D4" s="5">
        <v>336548</v>
      </c>
      <c r="F4" s="13"/>
      <c r="G4" s="13"/>
      <c r="H4" s="44"/>
      <c r="I4" s="13"/>
      <c r="J4" s="13"/>
    </row>
    <row r="5" spans="2:10" x14ac:dyDescent="0.25">
      <c r="B5" t="s">
        <v>38</v>
      </c>
      <c r="C5" s="1">
        <v>431.99</v>
      </c>
      <c r="D5" s="5">
        <v>154789</v>
      </c>
      <c r="F5" s="13"/>
      <c r="G5" s="13"/>
      <c r="H5" s="44"/>
      <c r="I5" s="13"/>
      <c r="J5" s="13"/>
    </row>
    <row r="6" spans="2:10" x14ac:dyDescent="0.25">
      <c r="B6" t="s">
        <v>32</v>
      </c>
      <c r="C6" s="1">
        <v>9.9499999999999993</v>
      </c>
      <c r="D6" s="5">
        <v>295814</v>
      </c>
      <c r="F6" s="13"/>
      <c r="G6" s="13"/>
      <c r="H6" s="44"/>
      <c r="I6" s="13"/>
      <c r="J6" s="13"/>
    </row>
    <row r="7" spans="2:10" x14ac:dyDescent="0.25">
      <c r="B7" t="s">
        <v>33</v>
      </c>
      <c r="C7" s="1">
        <v>14.95</v>
      </c>
      <c r="D7" s="5">
        <v>256147</v>
      </c>
      <c r="F7" s="13"/>
      <c r="G7" s="13"/>
      <c r="H7" s="44"/>
      <c r="I7" s="13"/>
      <c r="J7" s="13"/>
    </row>
    <row r="8" spans="2:10" x14ac:dyDescent="0.25">
      <c r="B8" t="s">
        <v>31</v>
      </c>
      <c r="C8" s="1">
        <v>6.98</v>
      </c>
      <c r="D8" s="5">
        <v>542369</v>
      </c>
      <c r="F8" s="13"/>
      <c r="G8" s="13"/>
      <c r="H8" s="44"/>
      <c r="I8" s="13"/>
      <c r="J8" s="13"/>
    </row>
    <row r="9" spans="2:10" x14ac:dyDescent="0.25">
      <c r="B9" t="s">
        <v>27</v>
      </c>
      <c r="C9" s="1">
        <v>86.5</v>
      </c>
      <c r="D9" s="5">
        <v>959947</v>
      </c>
      <c r="F9" s="13"/>
      <c r="G9" s="13"/>
      <c r="H9" s="44"/>
      <c r="I9" s="13"/>
      <c r="J9" s="13"/>
    </row>
    <row r="10" spans="2:10" x14ac:dyDescent="0.25">
      <c r="B10" t="s">
        <v>35</v>
      </c>
      <c r="C10" s="1">
        <v>12.99</v>
      </c>
      <c r="D10" s="5">
        <v>365896</v>
      </c>
      <c r="F10" s="13"/>
      <c r="G10" s="13"/>
      <c r="H10" s="44"/>
      <c r="I10" s="13"/>
      <c r="J10" s="13"/>
    </row>
    <row r="11" spans="2:10" x14ac:dyDescent="0.25">
      <c r="B11" t="s">
        <v>29</v>
      </c>
      <c r="C11" s="1">
        <v>188.95</v>
      </c>
      <c r="D11" s="5">
        <v>178952</v>
      </c>
      <c r="F11" s="13"/>
      <c r="G11" s="13"/>
      <c r="H11" s="13"/>
      <c r="I11" s="13"/>
      <c r="J11" s="13"/>
    </row>
    <row r="12" spans="2:10" x14ac:dyDescent="0.25">
      <c r="B12" t="s">
        <v>34</v>
      </c>
      <c r="C12" s="1">
        <v>69</v>
      </c>
      <c r="D12" s="5">
        <v>236547</v>
      </c>
      <c r="F12" s="9"/>
      <c r="G12" s="9"/>
      <c r="H12" s="9"/>
      <c r="I12" s="9"/>
      <c r="J12" s="9"/>
    </row>
    <row r="13" spans="2:10" x14ac:dyDescent="0.25">
      <c r="B13" t="s">
        <v>28</v>
      </c>
      <c r="C13" s="1">
        <v>197.45</v>
      </c>
      <c r="D13" s="5">
        <v>751569</v>
      </c>
      <c r="F13" s="9"/>
      <c r="G13" s="9"/>
      <c r="H13" s="9"/>
      <c r="I13" s="9"/>
      <c r="J13" s="9"/>
    </row>
    <row r="14" spans="2:10" x14ac:dyDescent="0.25">
      <c r="B14" t="s">
        <v>30</v>
      </c>
      <c r="C14" s="1">
        <v>125.95</v>
      </c>
      <c r="D14" s="5">
        <v>236589</v>
      </c>
    </row>
    <row r="15" spans="2:10" x14ac:dyDescent="0.25">
      <c r="B15" t="s">
        <v>36</v>
      </c>
      <c r="C15" s="1">
        <v>19.989999999999998</v>
      </c>
      <c r="D15" s="5">
        <v>658759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goto_Knoppen">
                <anchor moveWithCells="1" sizeWithCells="1">
                  <from>
                    <xdr:col>6</xdr:col>
                    <xdr:colOff>0</xdr:colOff>
                    <xdr:row>1</xdr:row>
                    <xdr:rowOff>19050</xdr:rowOff>
                  </from>
                  <to>
                    <xdr:col>9</xdr:col>
                    <xdr:colOff>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F8D0973D63C34AB3C56E24F1AF6783" ma:contentTypeVersion="10" ma:contentTypeDescription="Create a new document." ma:contentTypeScope="" ma:versionID="f0bbc5e555811130089f6e32b6f3a54d">
  <xsd:schema xmlns:xsd="http://www.w3.org/2001/XMLSchema" xmlns:xs="http://www.w3.org/2001/XMLSchema" xmlns:p="http://schemas.microsoft.com/office/2006/metadata/properties" xmlns:ns3="6eacfe53-a626-45b6-8211-e0f5137d51bd" xmlns:ns4="783fab80-995a-4ad1-a99f-4245256b05db" targetNamespace="http://schemas.microsoft.com/office/2006/metadata/properties" ma:root="true" ma:fieldsID="3dbdda15bdd4d49048a3f7055cb8a0d8" ns3:_="" ns4:_="">
    <xsd:import namespace="6eacfe53-a626-45b6-8211-e0f5137d51bd"/>
    <xsd:import namespace="783fab80-995a-4ad1-a99f-4245256b05d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acfe53-a626-45b6-8211-e0f5137d51b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3fab80-995a-4ad1-a99f-4245256b05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3E85D5F-6D62-4E63-A7B8-01B052CCA0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acfe53-a626-45b6-8211-e0f5137d51bd"/>
    <ds:schemaRef ds:uri="783fab80-995a-4ad1-a99f-4245256b05d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DAE2D2-5227-431E-958C-973CD022069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5CCBE7-2CF4-4640-9DBF-B0539EFAEE9A}">
  <ds:schemaRefs>
    <ds:schemaRef ds:uri="6eacfe53-a626-45b6-8211-e0f5137d51bd"/>
    <ds:schemaRef ds:uri="http://schemas.microsoft.com/office/2006/metadata/properties"/>
    <ds:schemaRef ds:uri="http://purl.org/dc/dcmitype/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783fab80-995a-4ad1-a99f-4245256b05d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Knoppen</vt:lpstr>
      <vt:lpstr>Factuurgegevens</vt:lpstr>
      <vt:lpstr>FactuurKlant</vt:lpstr>
      <vt:lpstr>KopieFactuur</vt:lpstr>
      <vt:lpstr>KlantToevoegen</vt:lpstr>
      <vt:lpstr>Klantgegevens</vt:lpstr>
      <vt:lpstr>Producten</vt:lpstr>
      <vt:lpstr>FactuurKlant!Print_Area</vt:lpstr>
      <vt:lpstr>KopieFactuur!Print_Area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Danomen</dc:creator>
  <cp:lastModifiedBy>Danomen</cp:lastModifiedBy>
  <cp:lastPrinted>2022-01-17T11:03:39Z</cp:lastPrinted>
  <dcterms:created xsi:type="dcterms:W3CDTF">2022-01-14T14:15:18Z</dcterms:created>
  <dcterms:modified xsi:type="dcterms:W3CDTF">2022-01-18T08:48:41Z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0x010100B2F8D0973D63C34AB3C56E24F1AF6783</vt:lpwstr>
  </property>
</Properties>
</file>